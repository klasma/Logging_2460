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62266-2021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44503</v>
      </c>
      <c r="E2" s="1" t="n">
        <v>46322</v>
      </c>
      <c r="F2" t="inlineStr">
        <is>
          <t>VÄSTERBOTTENS LÄN</t>
        </is>
      </c>
      <c r="G2" t="inlineStr">
        <is>
          <t>VÄNNÄS</t>
        </is>
      </c>
      <c r="H2" t="inlineStr">
        <is>
          <t>Holmen skog AB</t>
        </is>
      </c>
      <c r="I2" t="n">
        <v>7</v>
      </c>
      <c r="J2" t="n">
        <v>2</v>
      </c>
      <c r="K2" t="n">
        <v>5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n">
        <v>7</v>
      </c>
      <c r="R2" t="n">
        <v>1</v>
      </c>
      <c r="S2" t="n">
        <v>13</v>
      </c>
      <c r="T2" t="n">
        <v>23</v>
      </c>
      <c r="U2" t="n">
        <v>23</v>
      </c>
      <c r="V2" s="2" t="inlineStr">
        <is>
          <t>Garnlav
Lunglav
Rynkskinn
Stjärntagging
Tretåig hackspett
Ullticka
Vitgrynig nållav
Barkticka
Mörk husmossa
Skinnlav
Skogshakmossa
Stuplav
Utter</t>
        </is>
      </c>
      <c r="W2">
        <f>HYPERLINK("https://klasma.github.io/Logging_2460/artfynd/A 62266-2021 artfynd.xlsx", "A 62266-2021")</f>
        <v/>
      </c>
      <c r="X2">
        <f>HYPERLINK("https://klasma.github.io/Logging_2460/kartor/A 62266-2021 karta.png", "A 62266-2021")</f>
        <v/>
      </c>
      <c r="Y2">
        <f>HYPERLINK("https://klasma.github.io/Logging_2460/kartor_geotiff/A 62266-2021 georefererad karta.tif", "A 62266-2021")</f>
        <v/>
      </c>
      <c r="AA2">
        <f>HYPERLINK("https://klasma.github.io/Logging_2460/klagomål/A 62266-2021 FSC-klagomål.docx", "A 62266-2021")</f>
        <v/>
      </c>
      <c r="AB2">
        <f>HYPERLINK("https://klasma.github.io/Logging_2460/klagomålsmail/A 62266-2021 FSC-klagomål mail.docx", "A 62266-2021")</f>
        <v/>
      </c>
      <c r="AC2">
        <f>HYPERLINK("https://klasma.github.io/Logging_2460/tillsyn/A 62266-2021 tillsynsbegäran.docx", "A 62266-2021")</f>
        <v/>
      </c>
      <c r="AD2">
        <f>HYPERLINK("https://klasma.github.io/Logging_2460/tillsynsmail/A 62266-2021 tillsynsbegäran mail.docx", "A 62266-2021")</f>
        <v/>
      </c>
      <c r="AE2">
        <f>HYPERLINK("https://klasma.github.io/Logging_2460/fåglar/A 62266-2021 prioriterade fågelarter.docx", "A 62266-2021")</f>
        <v/>
      </c>
    </row>
    <row r="3" ht="15" customHeight="1">
      <c r="A3" t="inlineStr">
        <is>
          <t>A 24173-2025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45796</v>
      </c>
      <c r="E3" s="1" t="n">
        <v>46322</v>
      </c>
      <c r="F3" t="inlineStr">
        <is>
          <t>VÄSTERBOTTENS LÄN</t>
        </is>
      </c>
      <c r="G3" t="inlineStr">
        <is>
          <t>VÄNNÄS</t>
        </is>
      </c>
      <c r="I3" t="n">
        <v>10.5</v>
      </c>
      <c r="J3" t="n">
        <v>3</v>
      </c>
      <c r="K3" t="n">
        <v>2</v>
      </c>
      <c r="L3" t="n">
        <v>4</v>
      </c>
      <c r="M3" t="n">
        <v>4</v>
      </c>
      <c r="N3" t="n">
        <v>0</v>
      </c>
      <c r="O3" t="n">
        <v>0</v>
      </c>
      <c r="P3" t="n">
        <v>0</v>
      </c>
      <c r="Q3" t="n">
        <v>8</v>
      </c>
      <c r="R3" t="n">
        <v>4</v>
      </c>
      <c r="S3" t="n">
        <v>12</v>
      </c>
      <c r="T3" t="n">
        <v>43</v>
      </c>
      <c r="U3" t="n">
        <v>34</v>
      </c>
      <c r="V3" s="2" t="inlineStr">
        <is>
          <t>Blackticka
Garnlav
Gränsticka
Ulltickeporing
Gammelgransskål
Rynkskinn
Tretåig hackspett
Ullticka
Skinnlav
Vedticka
Järpe
Spillkråka</t>
        </is>
      </c>
      <c r="W3">
        <f>HYPERLINK("https://klasma.github.io/Logging_2460/artfynd/A 24173-2025 artfynd.xlsx", "A 24173-2025")</f>
        <v/>
      </c>
      <c r="X3">
        <f>HYPERLINK("https://klasma.github.io/Logging_2460/kartor/A 24173-2025 karta.png", "A 24173-2025")</f>
        <v/>
      </c>
      <c r="Y3">
        <f>HYPERLINK("https://klasma.github.io/Logging_2460/kartor_geotiff/A 24173-2025 georefererad karta.tif", "A 24173-2025")</f>
        <v/>
      </c>
      <c r="AA3">
        <f>HYPERLINK("https://klasma.github.io/Logging_2460/klagomål/A 24173-2025 FSC-klagomål.docx", "A 24173-2025")</f>
        <v/>
      </c>
      <c r="AB3">
        <f>HYPERLINK("https://klasma.github.io/Logging_2460/klagomålsmail/A 24173-2025 FSC-klagomål mail.docx", "A 24173-2025")</f>
        <v/>
      </c>
      <c r="AC3">
        <f>HYPERLINK("https://klasma.github.io/Logging_2460/tillsyn/A 24173-2025 tillsynsbegäran.docx", "A 24173-2025")</f>
        <v/>
      </c>
      <c r="AD3">
        <f>HYPERLINK("https://klasma.github.io/Logging_2460/tillsynsmail/A 24173-2025 tillsynsbegäran mail.docx", "A 24173-2025")</f>
        <v/>
      </c>
      <c r="AE3">
        <f>HYPERLINK("https://klasma.github.io/Logging_2460/fåglar/A 24173-2025 prioriterade fågelarter.docx", "A 24173-2025")</f>
        <v/>
      </c>
    </row>
    <row r="4" ht="15" customHeight="1">
      <c r="A4" t="inlineStr">
        <is>
          <t>A 21113-2026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46146</v>
      </c>
      <c r="E4" s="1" t="n">
        <v>46322</v>
      </c>
      <c r="F4" t="inlineStr">
        <is>
          <t>VÄSTERBOTTENS LÄN</t>
        </is>
      </c>
      <c r="G4" t="inlineStr">
        <is>
          <t>VÄNNÄS</t>
        </is>
      </c>
      <c r="I4" t="n">
        <v>9</v>
      </c>
      <c r="J4" t="n">
        <v>5</v>
      </c>
      <c r="K4" t="n">
        <v>1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10</v>
      </c>
      <c r="T4" t="n">
        <v>18</v>
      </c>
      <c r="U4" t="n">
        <v>0</v>
      </c>
      <c r="V4" s="2" t="inlineStr">
        <is>
          <t>Brunklöver
Drillsnäppa
Gammelgransskål
Skogshare
Tretåig hackspett
Älvstarr
Spädstarr
Mattlummer
Spillkråka
Kungsfågel</t>
        </is>
      </c>
      <c r="W4">
        <f>HYPERLINK("https://klasma.github.io/Logging_2460/artfynd/A 21113-2026 artfynd.xlsx", "A 21113-2026")</f>
        <v/>
      </c>
      <c r="X4">
        <f>HYPERLINK("https://klasma.github.io/Logging_2460/kartor/A 21113-2026 karta.png", "A 21113-2026")</f>
        <v/>
      </c>
      <c r="Y4">
        <f>HYPERLINK("https://klasma.github.io/Logging_2460/kartor_geotiff/A 21113-2026 georefererad karta.tif", "A 21113-2026")</f>
        <v/>
      </c>
      <c r="AA4">
        <f>HYPERLINK("https://klasma.github.io/Logging_2460/klagomål/A 21113-2026 FSC-klagomål.docx", "A 21113-2026")</f>
        <v/>
      </c>
      <c r="AB4">
        <f>HYPERLINK("https://klasma.github.io/Logging_2460/klagomålsmail/A 21113-2026 FSC-klagomål mail.docx", "A 21113-2026")</f>
        <v/>
      </c>
      <c r="AC4">
        <f>HYPERLINK("https://klasma.github.io/Logging_2460/tillsyn/A 21113-2026 tillsynsbegäran.docx", "A 21113-2026")</f>
        <v/>
      </c>
      <c r="AD4">
        <f>HYPERLINK("https://klasma.github.io/Logging_2460/tillsynsmail/A 21113-2026 tillsynsbegäran mail.docx", "A 21113-2026")</f>
        <v/>
      </c>
      <c r="AE4">
        <f>HYPERLINK("https://klasma.github.io/Logging_2460/fåglar/A 21113-2026 prioriterade fågelarter.docx", "A 21113-2026")</f>
        <v/>
      </c>
    </row>
    <row r="5" ht="15" customHeight="1">
      <c r="A5" t="inlineStr">
        <is>
          <t>S 1760-2024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45435</v>
      </c>
      <c r="E5" s="1" t="n">
        <v>46322</v>
      </c>
      <c r="F5" t="inlineStr">
        <is>
          <t>VÄSTERBOTTENS LÄN</t>
        </is>
      </c>
      <c r="G5" t="inlineStr">
        <is>
          <t>VÄNNÄS</t>
        </is>
      </c>
      <c r="I5" t="n">
        <v>2.8</v>
      </c>
      <c r="J5" t="n">
        <v>7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0</v>
      </c>
      <c r="S5" t="n">
        <v>8</v>
      </c>
      <c r="T5" t="n">
        <v>11</v>
      </c>
      <c r="U5" t="n">
        <v>2</v>
      </c>
      <c r="V5" s="2" t="inlineStr">
        <is>
          <t>Brunklöver
Nötkråka
Sparvuggla
Talltita
Tretåig hackspett
Järpe
Tjäder
Kungsfågel</t>
        </is>
      </c>
      <c r="W5">
        <f>HYPERLINK("https://klasma.github.io/Logging_2460/artfynd/S 1760-2024 artfynd.xlsx", "S 1760-2024")</f>
        <v/>
      </c>
      <c r="X5">
        <f>HYPERLINK("https://klasma.github.io/Logging_2460/kartor/S 1760-2024 karta.png", "S 1760-2024")</f>
        <v/>
      </c>
      <c r="Y5">
        <f>HYPERLINK("https://klasma.github.io/Logging_2460/kartor_geotiff/S 1760-2024 georefererad karta.tif", "S 1760-2024")</f>
        <v/>
      </c>
      <c r="AA5">
        <f>HYPERLINK("https://klasma.github.io/Logging_2460/klagomål/S 1760-2024 FSC-klagomål.docx", "S 1760-2024")</f>
        <v/>
      </c>
      <c r="AB5">
        <f>HYPERLINK("https://klasma.github.io/Logging_2460/klagomålsmail/S 1760-2024 FSC-klagomål mail.docx", "S 1760-2024")</f>
        <v/>
      </c>
      <c r="AC5">
        <f>HYPERLINK("https://klasma.github.io/Logging_2460/tillsyn/S 1760-2024 tillsynsbegäran.docx", "S 1760-2024")</f>
        <v/>
      </c>
      <c r="AD5">
        <f>HYPERLINK("https://klasma.github.io/Logging_2460/tillsynsmail/S 1760-2024 tillsynsbegäran mail.docx", "S 1760-2024")</f>
        <v/>
      </c>
      <c r="AE5">
        <f>HYPERLINK("https://klasma.github.io/Logging_2460/fåglar/S 1760-2024 prioriterade fågelarter.docx", "S 1760-2024")</f>
        <v/>
      </c>
    </row>
    <row r="6" ht="15" customHeight="1">
      <c r="A6" t="inlineStr">
        <is>
          <t>A 24846-2025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45799</v>
      </c>
      <c r="E6" s="1" t="n">
        <v>46322</v>
      </c>
      <c r="F6" t="inlineStr">
        <is>
          <t>VÄSTERBOTTENS LÄN</t>
        </is>
      </c>
      <c r="G6" t="inlineStr">
        <is>
          <t>VÄNNÄS</t>
        </is>
      </c>
      <c r="I6" t="n">
        <v>2.8</v>
      </c>
      <c r="J6" t="n">
        <v>2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6</v>
      </c>
      <c r="T6" t="n">
        <v>6</v>
      </c>
      <c r="U6" t="n">
        <v>5</v>
      </c>
      <c r="V6" s="2" t="inlineStr">
        <is>
          <t>Garnlav
Talltita
Violettgrå tagellav
Gräsull
Svavelriska
Revlummer</t>
        </is>
      </c>
      <c r="W6">
        <f>HYPERLINK("https://klasma.github.io/Logging_2460/artfynd/A 24846-2025 artfynd.xlsx", "A 24846-2025")</f>
        <v/>
      </c>
      <c r="X6">
        <f>HYPERLINK("https://klasma.github.io/Logging_2460/kartor/A 24846-2025 karta.png", "A 24846-2025")</f>
        <v/>
      </c>
      <c r="Y6">
        <f>HYPERLINK("https://klasma.github.io/Logging_2460/kartor_geotiff/A 24846-2025 georefererad karta.tif", "A 24846-2025")</f>
        <v/>
      </c>
      <c r="AA6">
        <f>HYPERLINK("https://klasma.github.io/Logging_2460/klagomål/A 24846-2025 FSC-klagomål.docx", "A 24846-2025")</f>
        <v/>
      </c>
      <c r="AB6">
        <f>HYPERLINK("https://klasma.github.io/Logging_2460/klagomålsmail/A 24846-2025 FSC-klagomål mail.docx", "A 24846-2025")</f>
        <v/>
      </c>
      <c r="AC6">
        <f>HYPERLINK("https://klasma.github.io/Logging_2460/tillsyn/A 24846-2025 tillsynsbegäran.docx", "A 24846-2025")</f>
        <v/>
      </c>
      <c r="AD6">
        <f>HYPERLINK("https://klasma.github.io/Logging_2460/tillsynsmail/A 24846-2025 tillsynsbegäran mail.docx", "A 24846-2025")</f>
        <v/>
      </c>
      <c r="AE6">
        <f>HYPERLINK("https://klasma.github.io/Logging_2460/fåglar/A 24846-2025 prioriterade fågelarter.docx", "A 24846-2025")</f>
        <v/>
      </c>
    </row>
    <row r="7" ht="15" customHeight="1">
      <c r="A7" t="inlineStr">
        <is>
          <t>A 6179-2025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45698</v>
      </c>
      <c r="E7" s="1" t="n">
        <v>46322</v>
      </c>
      <c r="F7" t="inlineStr">
        <is>
          <t>VÄSTERBOTTENS LÄN</t>
        </is>
      </c>
      <c r="G7" t="inlineStr">
        <is>
          <t>VÄNNÄS</t>
        </is>
      </c>
      <c r="I7" t="n">
        <v>4.9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3</v>
      </c>
      <c r="U7" t="n">
        <v>3</v>
      </c>
      <c r="V7" s="2" t="inlineStr">
        <is>
          <t>Fläcknycklar
Nattviol</t>
        </is>
      </c>
      <c r="W7">
        <f>HYPERLINK("https://klasma.github.io/Logging_2460/artfynd/A 6179-2025 artfynd.xlsx", "A 6179-2025")</f>
        <v/>
      </c>
      <c r="X7">
        <f>HYPERLINK("https://klasma.github.io/Logging_2460/kartor/A 6179-2025 karta.png", "A 6179-2025")</f>
        <v/>
      </c>
      <c r="Y7">
        <f>HYPERLINK("https://klasma.github.io/Logging_2460/kartor_geotiff/A 6179-2025 georefererad karta.tif", "A 6179-2025")</f>
        <v/>
      </c>
      <c r="AA7">
        <f>HYPERLINK("https://klasma.github.io/Logging_2460/klagomål/A 6179-2025 FSC-klagomål.docx", "A 6179-2025")</f>
        <v/>
      </c>
      <c r="AB7">
        <f>HYPERLINK("https://klasma.github.io/Logging_2460/klagomålsmail/A 6179-2025 FSC-klagomål mail.docx", "A 6179-2025")</f>
        <v/>
      </c>
      <c r="AC7">
        <f>HYPERLINK("https://klasma.github.io/Logging_2460/tillsyn/A 6179-2025 tillsynsbegäran.docx", "A 6179-2025")</f>
        <v/>
      </c>
      <c r="AD7">
        <f>HYPERLINK("https://klasma.github.io/Logging_2460/tillsynsmail/A 6179-2025 tillsynsbegäran mail.docx", "A 6179-2025")</f>
        <v/>
      </c>
    </row>
    <row r="8" ht="15" customHeight="1">
      <c r="A8" t="inlineStr">
        <is>
          <t>A 62418-2025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46007</v>
      </c>
      <c r="E8" s="1" t="n">
        <v>46322</v>
      </c>
      <c r="F8" t="inlineStr">
        <is>
          <t>VÄSTERBOTTENS LÄN</t>
        </is>
      </c>
      <c r="G8" t="inlineStr">
        <is>
          <t>VÄNNÄS</t>
        </is>
      </c>
      <c r="I8" t="n">
        <v>3.1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Kungsfågel</t>
        </is>
      </c>
      <c r="W8">
        <f>HYPERLINK("https://klasma.github.io/Logging_2460/artfynd/A 62418-2025 artfynd.xlsx", "A 62418-2025")</f>
        <v/>
      </c>
      <c r="X8">
        <f>HYPERLINK("https://klasma.github.io/Logging_2460/kartor/A 62418-2025 karta.png", "A 62418-2025")</f>
        <v/>
      </c>
      <c r="Y8">
        <f>HYPERLINK("https://klasma.github.io/Logging_2460/kartor_geotiff/A 62418-2025 georefererad karta.tif", "A 62418-2025")</f>
        <v/>
      </c>
      <c r="AA8">
        <f>HYPERLINK("https://klasma.github.io/Logging_2460/klagomål/A 62418-2025 FSC-klagomål.docx", "A 62418-2025")</f>
        <v/>
      </c>
      <c r="AB8">
        <f>HYPERLINK("https://klasma.github.io/Logging_2460/klagomålsmail/A 62418-2025 FSC-klagomål mail.docx", "A 62418-2025")</f>
        <v/>
      </c>
      <c r="AC8">
        <f>HYPERLINK("https://klasma.github.io/Logging_2460/tillsyn/A 62418-2025 tillsynsbegäran.docx", "A 62418-2025")</f>
        <v/>
      </c>
      <c r="AD8">
        <f>HYPERLINK("https://klasma.github.io/Logging_2460/tillsynsmail/A 62418-2025 tillsynsbegäran mail.docx", "A 62418-2025")</f>
        <v/>
      </c>
    </row>
    <row r="9" ht="15" customHeight="1">
      <c r="A9" t="inlineStr">
        <is>
          <t>A 60033-2024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45642</v>
      </c>
      <c r="E9" s="1" t="n">
        <v>46322</v>
      </c>
      <c r="F9" t="inlineStr">
        <is>
          <t>VÄSTERBOTTENS LÄN</t>
        </is>
      </c>
      <c r="G9" t="inlineStr">
        <is>
          <t>VÄNNÄS</t>
        </is>
      </c>
      <c r="I9" t="n">
        <v>5.3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Ögonpyrola</t>
        </is>
      </c>
      <c r="W9">
        <f>HYPERLINK("https://klasma.github.io/Logging_2460/artfynd/A 60033-2024 artfynd.xlsx", "A 60033-2024")</f>
        <v/>
      </c>
      <c r="X9">
        <f>HYPERLINK("https://klasma.github.io/Logging_2460/kartor/A 60033-2024 karta.png", "A 60033-2024")</f>
        <v/>
      </c>
      <c r="Y9">
        <f>HYPERLINK("https://klasma.github.io/Logging_2460/kartor_geotiff/A 60033-2024 georefererad karta.tif", "A 60033-2024")</f>
        <v/>
      </c>
      <c r="AA9">
        <f>HYPERLINK("https://klasma.github.io/Logging_2460/klagomål/A 60033-2024 FSC-klagomål.docx", "A 60033-2024")</f>
        <v/>
      </c>
      <c r="AB9">
        <f>HYPERLINK("https://klasma.github.io/Logging_2460/klagomålsmail/A 60033-2024 FSC-klagomål mail.docx", "A 60033-2024")</f>
        <v/>
      </c>
      <c r="AC9">
        <f>HYPERLINK("https://klasma.github.io/Logging_2460/tillsyn/A 60033-2024 tillsynsbegäran.docx", "A 60033-2024")</f>
        <v/>
      </c>
      <c r="AD9">
        <f>HYPERLINK("https://klasma.github.io/Logging_2460/tillsynsmail/A 60033-2024 tillsynsbegäran mail.docx", "A 60033-2024")</f>
        <v/>
      </c>
    </row>
    <row r="10" ht="15" customHeight="1">
      <c r="A10" t="inlineStr">
        <is>
          <t>A 55173-2023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45237</v>
      </c>
      <c r="E10" s="1" t="n">
        <v>46322</v>
      </c>
      <c r="F10" t="inlineStr">
        <is>
          <t>VÄSTERBOTTENS LÄN</t>
        </is>
      </c>
      <c r="G10" t="inlineStr">
        <is>
          <t>VÄNNÄS</t>
        </is>
      </c>
      <c r="I10" t="n">
        <v>0.7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Brunklöver</t>
        </is>
      </c>
      <c r="W10">
        <f>HYPERLINK("https://klasma.github.io/Logging_2460/artfynd/A 55173-2023 artfynd.xlsx", "A 55173-2023")</f>
        <v/>
      </c>
      <c r="X10">
        <f>HYPERLINK("https://klasma.github.io/Logging_2460/kartor/A 55173-2023 karta.png", "A 55173-2023")</f>
        <v/>
      </c>
      <c r="Y10">
        <f>HYPERLINK("https://klasma.github.io/Logging_2460/kartor_geotiff/A 55173-2023 georefererad karta.tif", "A 55173-2023")</f>
        <v/>
      </c>
      <c r="AA10">
        <f>HYPERLINK("https://klasma.github.io/Logging_2460/klagomål/A 55173-2023 FSC-klagomål.docx", "A 55173-2023")</f>
        <v/>
      </c>
      <c r="AB10">
        <f>HYPERLINK("https://klasma.github.io/Logging_2460/klagomålsmail/A 55173-2023 FSC-klagomål mail.docx", "A 55173-2023")</f>
        <v/>
      </c>
      <c r="AC10">
        <f>HYPERLINK("https://klasma.github.io/Logging_2460/tillsyn/A 55173-2023 tillsynsbegäran.docx", "A 55173-2023")</f>
        <v/>
      </c>
      <c r="AD10">
        <f>HYPERLINK("https://klasma.github.io/Logging_2460/tillsynsmail/A 55173-2023 tillsynsbegäran mail.docx", "A 55173-2023")</f>
        <v/>
      </c>
    </row>
    <row r="11" ht="15" customHeight="1">
      <c r="A11" t="inlineStr">
        <is>
          <t>S 460-2025</t>
        </is>
      </c>
      <c r="B11" t="inlineStr">
        <is>
          <t>samrådsanmälan</t>
        </is>
      </c>
      <c r="C11" t="inlineStr">
        <is>
          <t>Skogsgödsling</t>
        </is>
      </c>
      <c r="D11" s="1" t="n">
        <v>45701</v>
      </c>
      <c r="E11" s="1" t="n">
        <v>46322</v>
      </c>
      <c r="F11" t="inlineStr">
        <is>
          <t>VÄSTERBOTTENS LÄN</t>
        </is>
      </c>
      <c r="G11" t="inlineStr">
        <is>
          <t>VÄNNÄS</t>
        </is>
      </c>
      <c r="H11" t="inlineStr">
        <is>
          <t>Holmen skog AB</t>
        </is>
      </c>
      <c r="I11" t="n">
        <v>93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Utter</t>
        </is>
      </c>
      <c r="W11">
        <f>HYPERLINK("https://klasma.github.io/Logging_2460/artfynd/S 460-2025 artfynd.xlsx", "S 460-2025")</f>
        <v/>
      </c>
      <c r="X11">
        <f>HYPERLINK("https://klasma.github.io/Logging_2460/kartor/S 460-2025 karta.png", "S 460-2025")</f>
        <v/>
      </c>
      <c r="Y11">
        <f>HYPERLINK("https://klasma.github.io/Logging_2460/kartor_geotiff/S 460-2025 georefererad karta.tif", "S 460-2025")</f>
        <v/>
      </c>
      <c r="AA11">
        <f>HYPERLINK("https://klasma.github.io/Logging_2460/klagomål/S 460-2025 FSC-klagomål.docx", "S 460-2025")</f>
        <v/>
      </c>
      <c r="AB11">
        <f>HYPERLINK("https://klasma.github.io/Logging_2460/klagomålsmail/S 460-2025 FSC-klagomål mail.docx", "S 460-2025")</f>
        <v/>
      </c>
      <c r="AC11">
        <f>HYPERLINK("https://klasma.github.io/Logging_2460/tillsyn/S 460-2025 tillsynsbegäran.docx", "S 460-2025")</f>
        <v/>
      </c>
      <c r="AD11">
        <f>HYPERLINK("https://klasma.github.io/Logging_2460/tillsynsmail/S 460-2025 tillsynsbegäran mail.docx", "S 460-2025")</f>
        <v/>
      </c>
    </row>
    <row r="12" ht="15" customHeight="1">
      <c r="A12" t="inlineStr">
        <is>
          <t>S 1810-2026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46189</v>
      </c>
      <c r="E12" s="1" t="n">
        <v>46322</v>
      </c>
      <c r="F12" t="inlineStr">
        <is>
          <t>VÄSTERBOTTENS LÄN</t>
        </is>
      </c>
      <c r="G12" t="inlineStr">
        <is>
          <t>VÄNNÄS</t>
        </is>
      </c>
      <c r="I12" t="n">
        <v>0.6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Tretåig hackspett</t>
        </is>
      </c>
      <c r="W12">
        <f>HYPERLINK("https://klasma.github.io/Logging_2460/artfynd/S 1810-2026 artfynd.xlsx", "S 1810-2026")</f>
        <v/>
      </c>
      <c r="X12">
        <f>HYPERLINK("https://klasma.github.io/Logging_2460/kartor/S 1810-2026 karta.png", "S 1810-2026")</f>
        <v/>
      </c>
      <c r="Y12">
        <f>HYPERLINK("https://klasma.github.io/Logging_2460/kartor_geotiff/S 1810-2026 georefererad karta.tif", "S 1810-2026")</f>
        <v/>
      </c>
      <c r="AA12">
        <f>HYPERLINK("https://klasma.github.io/Logging_2460/klagomål/S 1810-2026 FSC-klagomål.docx", "S 1810-2026")</f>
        <v/>
      </c>
      <c r="AB12">
        <f>HYPERLINK("https://klasma.github.io/Logging_2460/klagomålsmail/S 1810-2026 FSC-klagomål mail.docx", "S 1810-2026")</f>
        <v/>
      </c>
      <c r="AC12">
        <f>HYPERLINK("https://klasma.github.io/Logging_2460/tillsyn/S 1810-2026 tillsynsbegäran.docx", "S 1810-2026")</f>
        <v/>
      </c>
      <c r="AD12">
        <f>HYPERLINK("https://klasma.github.io/Logging_2460/tillsynsmail/S 1810-2026 tillsynsbegäran mail.docx", "S 1810-2026")</f>
        <v/>
      </c>
      <c r="AE12">
        <f>HYPERLINK("https://klasma.github.io/Logging_2460/fåglar/S 1810-2026 prioriterade fågelarter.docx", "S 1810-2026")</f>
        <v/>
      </c>
    </row>
    <row r="13" ht="15" customHeight="1">
      <c r="A13" t="inlineStr">
        <is>
          <t>A 14222-2022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44651</v>
      </c>
      <c r="E13" s="1" t="n">
        <v>46322</v>
      </c>
      <c r="F13" t="inlineStr">
        <is>
          <t>VÄSTERBOTTENS LÄN</t>
        </is>
      </c>
      <c r="G13" t="inlineStr">
        <is>
          <t>VÄNNÄS</t>
        </is>
      </c>
      <c r="I13" t="n">
        <v>4.1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427-2022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44565</v>
      </c>
      <c r="E14" s="1" t="n">
        <v>46322</v>
      </c>
      <c r="F14" t="inlineStr">
        <is>
          <t>VÄSTERBOTTENS LÄN</t>
        </is>
      </c>
      <c r="G14" t="inlineStr">
        <is>
          <t>VÄNNÄS</t>
        </is>
      </c>
      <c r="I14" t="n">
        <v>1.3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67534-2021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44524</v>
      </c>
      <c r="E15" s="1" t="n">
        <v>46322</v>
      </c>
      <c r="F15" t="inlineStr">
        <is>
          <t>VÄSTERBOTTENS LÄN</t>
        </is>
      </c>
      <c r="G15" t="inlineStr">
        <is>
          <t>VÄNNÄS</t>
        </is>
      </c>
      <c r="I15" t="n">
        <v>1.3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47772-2022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44854</v>
      </c>
      <c r="E16" s="1" t="n">
        <v>46322</v>
      </c>
      <c r="F16" t="inlineStr">
        <is>
          <t>VÄSTERBOTTENS LÄN</t>
        </is>
      </c>
      <c r="G16" t="inlineStr">
        <is>
          <t>VÄNNÄS</t>
        </is>
      </c>
      <c r="I16" t="n">
        <v>1.7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429-2022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44565</v>
      </c>
      <c r="E17" s="1" t="n">
        <v>46322</v>
      </c>
      <c r="F17" t="inlineStr">
        <is>
          <t>VÄSTERBOTTENS LÄN</t>
        </is>
      </c>
      <c r="G17" t="inlineStr">
        <is>
          <t>VÄNNÄS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8399-2022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44610</v>
      </c>
      <c r="E18" s="1" t="n">
        <v>46322</v>
      </c>
      <c r="F18" t="inlineStr">
        <is>
          <t>VÄSTERBOTTENS LÄN</t>
        </is>
      </c>
      <c r="G18" t="inlineStr">
        <is>
          <t>VÄNNÄS</t>
        </is>
      </c>
      <c r="I18" t="n">
        <v>2.7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67514-2021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44524</v>
      </c>
      <c r="E19" s="1" t="n">
        <v>46322</v>
      </c>
      <c r="F19" t="inlineStr">
        <is>
          <t>VÄSTERBOTTENS LÄN</t>
        </is>
      </c>
      <c r="G19" t="inlineStr">
        <is>
          <t>VÄNNÄS</t>
        </is>
      </c>
      <c r="I19" t="n">
        <v>2.7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426-2022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44565</v>
      </c>
      <c r="E20" s="1" t="n">
        <v>46322</v>
      </c>
      <c r="F20" t="inlineStr">
        <is>
          <t>VÄSTERBOTTENS LÄN</t>
        </is>
      </c>
      <c r="G20" t="inlineStr">
        <is>
          <t>VÄNNÄS</t>
        </is>
      </c>
      <c r="I20" t="n">
        <v>0.9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54793-2023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45229</v>
      </c>
      <c r="E21" s="1" t="n">
        <v>46322</v>
      </c>
      <c r="F21" t="inlineStr">
        <is>
          <t>VÄSTERBOTTENS LÄN</t>
        </is>
      </c>
      <c r="G21" t="inlineStr">
        <is>
          <t>VÄNNÄS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38566-2025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45884</v>
      </c>
      <c r="E22" s="1" t="n">
        <v>46322</v>
      </c>
      <c r="F22" t="inlineStr">
        <is>
          <t>VÄSTERBOTTENS LÄN</t>
        </is>
      </c>
      <c r="G22" t="inlineStr">
        <is>
          <t>VÄNNÄS</t>
        </is>
      </c>
      <c r="I22" t="n">
        <v>5.5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16782-2024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45411</v>
      </c>
      <c r="E23" s="1" t="n">
        <v>46322</v>
      </c>
      <c r="F23" t="inlineStr">
        <is>
          <t>VÄSTERBOTTENS LÄN</t>
        </is>
      </c>
      <c r="G23" t="inlineStr">
        <is>
          <t>VÄNNÄS</t>
        </is>
      </c>
      <c r="I23" t="n">
        <v>1.8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35737-2024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45532</v>
      </c>
      <c r="E24" s="1" t="n">
        <v>46322</v>
      </c>
      <c r="F24" t="inlineStr">
        <is>
          <t>VÄSTERBOTTENS LÄN</t>
        </is>
      </c>
      <c r="G24" t="inlineStr">
        <is>
          <t>VÄNNÄS</t>
        </is>
      </c>
      <c r="I24" t="n">
        <v>2.6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35771-2024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45532</v>
      </c>
      <c r="E25" s="1" t="n">
        <v>46322</v>
      </c>
      <c r="F25" t="inlineStr">
        <is>
          <t>VÄSTERBOTTENS LÄN</t>
        </is>
      </c>
      <c r="G25" t="inlineStr">
        <is>
          <t>VÄNNÄS</t>
        </is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42584-2025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45905</v>
      </c>
      <c r="E26" s="1" t="n">
        <v>46322</v>
      </c>
      <c r="F26" t="inlineStr">
        <is>
          <t>VÄSTERBOTTENS LÄN</t>
        </is>
      </c>
      <c r="G26" t="inlineStr">
        <is>
          <t>VÄNNÄS</t>
        </is>
      </c>
      <c r="I26" t="n">
        <v>0.8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42902-2025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45908</v>
      </c>
      <c r="E27" s="1" t="n">
        <v>46322</v>
      </c>
      <c r="F27" t="inlineStr">
        <is>
          <t>VÄSTERBOTTENS LÄN</t>
        </is>
      </c>
      <c r="G27" t="inlineStr">
        <is>
          <t>VÄNNÄS</t>
        </is>
      </c>
      <c r="I27" t="n">
        <v>1.7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43030-2025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45909</v>
      </c>
      <c r="E28" s="1" t="n">
        <v>46322</v>
      </c>
      <c r="F28" t="inlineStr">
        <is>
          <t>VÄSTERBOTTENS LÄN</t>
        </is>
      </c>
      <c r="G28" t="inlineStr">
        <is>
          <t>VÄNNÄS</t>
        </is>
      </c>
      <c r="H28" t="inlineStr">
        <is>
          <t>Holmen skog AB</t>
        </is>
      </c>
      <c r="I28" t="n">
        <v>4.2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32792-2024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45516</v>
      </c>
      <c r="E29" s="1" t="n">
        <v>46322</v>
      </c>
      <c r="F29" t="inlineStr">
        <is>
          <t>VÄSTERBOTTENS LÄN</t>
        </is>
      </c>
      <c r="G29" t="inlineStr">
        <is>
          <t>VÄNNÄS</t>
        </is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46212-2024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45581</v>
      </c>
      <c r="E30" s="1" t="n">
        <v>46322</v>
      </c>
      <c r="F30" t="inlineStr">
        <is>
          <t>VÄSTERBOTTENS LÄN</t>
        </is>
      </c>
      <c r="G30" t="inlineStr">
        <is>
          <t>VÄNNÄS</t>
        </is>
      </c>
      <c r="I30" t="n">
        <v>1.8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60640-2024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45644</v>
      </c>
      <c r="E31" s="1" t="n">
        <v>46322</v>
      </c>
      <c r="F31" t="inlineStr">
        <is>
          <t>VÄSTERBOTTENS LÄN</t>
        </is>
      </c>
      <c r="G31" t="inlineStr">
        <is>
          <t>VÄNNÄS</t>
        </is>
      </c>
      <c r="H31" t="inlineStr">
        <is>
          <t>Holmen skog AB</t>
        </is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846-2022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44571</v>
      </c>
      <c r="E32" s="1" t="n">
        <v>46322</v>
      </c>
      <c r="F32" t="inlineStr">
        <is>
          <t>VÄSTERBOTTENS LÄN</t>
        </is>
      </c>
      <c r="G32" t="inlineStr">
        <is>
          <t>VÄNNÄS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60557-2023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45259</v>
      </c>
      <c r="E33" s="1" t="n">
        <v>46322</v>
      </c>
      <c r="F33" t="inlineStr">
        <is>
          <t>VÄSTERBOTTENS LÄN</t>
        </is>
      </c>
      <c r="G33" t="inlineStr">
        <is>
          <t>VÄNNÄS</t>
        </is>
      </c>
      <c r="I33" t="n">
        <v>3.9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43685-2025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45912</v>
      </c>
      <c r="E34" s="1" t="n">
        <v>46322</v>
      </c>
      <c r="F34" t="inlineStr">
        <is>
          <t>VÄSTERBOTTENS LÄN</t>
        </is>
      </c>
      <c r="G34" t="inlineStr">
        <is>
          <t>VÄNNÄS</t>
        </is>
      </c>
      <c r="I34" t="n">
        <v>3.6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44975-2025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45918</v>
      </c>
      <c r="E35" s="1" t="n">
        <v>46322</v>
      </c>
      <c r="F35" t="inlineStr">
        <is>
          <t>VÄSTERBOTTENS LÄN</t>
        </is>
      </c>
      <c r="G35" t="inlineStr">
        <is>
          <t>VÄNNÄS</t>
        </is>
      </c>
      <c r="I35" t="n">
        <v>1.6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44832-2025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45918</v>
      </c>
      <c r="E36" s="1" t="n">
        <v>46322</v>
      </c>
      <c r="F36" t="inlineStr">
        <is>
          <t>VÄSTERBOTTENS LÄN</t>
        </is>
      </c>
      <c r="G36" t="inlineStr">
        <is>
          <t>VÄNNÄS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44895-2025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45918</v>
      </c>
      <c r="E37" s="1" t="n">
        <v>46322</v>
      </c>
      <c r="F37" t="inlineStr">
        <is>
          <t>VÄSTERBOTTENS LÄN</t>
        </is>
      </c>
      <c r="G37" t="inlineStr">
        <is>
          <t>VÄNNÄS</t>
        </is>
      </c>
      <c r="I37" t="n">
        <v>2.8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33319-2023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45127</v>
      </c>
      <c r="E38" s="1" t="n">
        <v>46322</v>
      </c>
      <c r="F38" t="inlineStr">
        <is>
          <t>VÄSTERBOTTENS LÄN</t>
        </is>
      </c>
      <c r="G38" t="inlineStr">
        <is>
          <t>VÄNNÄS</t>
        </is>
      </c>
      <c r="I38" t="n">
        <v>3.6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27530-2024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45474</v>
      </c>
      <c r="E39" s="1" t="n">
        <v>46322</v>
      </c>
      <c r="F39" t="inlineStr">
        <is>
          <t>VÄSTERBOTTENS LÄN</t>
        </is>
      </c>
      <c r="G39" t="inlineStr">
        <is>
          <t>VÄNNÄS</t>
        </is>
      </c>
      <c r="H39" t="inlineStr">
        <is>
          <t>Holmen skog AB</t>
        </is>
      </c>
      <c r="I39" t="n">
        <v>0.9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28337-2022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44747</v>
      </c>
      <c r="E40" s="1" t="n">
        <v>46322</v>
      </c>
      <c r="F40" t="inlineStr">
        <is>
          <t>VÄSTERBOTTENS LÄN</t>
        </is>
      </c>
      <c r="G40" t="inlineStr">
        <is>
          <t>VÄNNÄS</t>
        </is>
      </c>
      <c r="I40" t="n">
        <v>1.8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44295-2023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45188</v>
      </c>
      <c r="E41" s="1" t="n">
        <v>46322</v>
      </c>
      <c r="F41" t="inlineStr">
        <is>
          <t>VÄSTERBOTTENS LÄN</t>
        </is>
      </c>
      <c r="G41" t="inlineStr">
        <is>
          <t>VÄNNÄS</t>
        </is>
      </c>
      <c r="I41" t="n">
        <v>0.6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28367-2022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44747</v>
      </c>
      <c r="E42" s="1" t="n">
        <v>46322</v>
      </c>
      <c r="F42" t="inlineStr">
        <is>
          <t>VÄSTERBOTTENS LÄN</t>
        </is>
      </c>
      <c r="G42" t="inlineStr">
        <is>
          <t>VÄNNÄS</t>
        </is>
      </c>
      <c r="I42" t="n">
        <v>2.7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20432-2025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45775</v>
      </c>
      <c r="E43" s="1" t="n">
        <v>46322</v>
      </c>
      <c r="F43" t="inlineStr">
        <is>
          <t>VÄSTERBOTTENS LÄN</t>
        </is>
      </c>
      <c r="G43" t="inlineStr">
        <is>
          <t>VÄNNÄS</t>
        </is>
      </c>
      <c r="I43" t="n">
        <v>2.8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20228-2023</t>
        </is>
      </c>
      <c r="B44" t="inlineStr">
        <is>
          <t>avverkningsanmälan</t>
        </is>
      </c>
      <c r="C44" t="inlineStr">
        <is>
          <t>Avverkning för annat ändamål</t>
        </is>
      </c>
      <c r="D44" s="1" t="n">
        <v>45055</v>
      </c>
      <c r="E44" s="1" t="n">
        <v>46322</v>
      </c>
      <c r="F44" t="inlineStr">
        <is>
          <t>VÄSTERBOTTENS LÄN</t>
        </is>
      </c>
      <c r="G44" t="inlineStr">
        <is>
          <t>VÄNNÄS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38956-2022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44816</v>
      </c>
      <c r="E45" s="1" t="n">
        <v>46322</v>
      </c>
      <c r="F45" t="inlineStr">
        <is>
          <t>VÄSTERBOTTENS LÄN</t>
        </is>
      </c>
      <c r="G45" t="inlineStr">
        <is>
          <t>VÄNNÄS</t>
        </is>
      </c>
      <c r="I45" t="n">
        <v>2.3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48859-2025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45937</v>
      </c>
      <c r="E46" s="1" t="n">
        <v>46322</v>
      </c>
      <c r="F46" t="inlineStr">
        <is>
          <t>VÄSTERBOTTENS LÄN</t>
        </is>
      </c>
      <c r="G46" t="inlineStr">
        <is>
          <t>VÄNNÄS</t>
        </is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48886-2025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45937</v>
      </c>
      <c r="E47" s="1" t="n">
        <v>46322</v>
      </c>
      <c r="F47" t="inlineStr">
        <is>
          <t>VÄSTERBOTTENS LÄN</t>
        </is>
      </c>
      <c r="G47" t="inlineStr">
        <is>
          <t>VÄNNÄS</t>
        </is>
      </c>
      <c r="I47" t="n">
        <v>1.8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49520-2025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45939</v>
      </c>
      <c r="E48" s="1" t="n">
        <v>46322</v>
      </c>
      <c r="F48" t="inlineStr">
        <is>
          <t>VÄSTERBOTTENS LÄN</t>
        </is>
      </c>
      <c r="G48" t="inlineStr">
        <is>
          <t>VÄNNÄS</t>
        </is>
      </c>
      <c r="I48" t="n">
        <v>1.6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8940-2025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45713</v>
      </c>
      <c r="E49" s="1" t="n">
        <v>46322</v>
      </c>
      <c r="F49" t="inlineStr">
        <is>
          <t>VÄSTERBOTTENS LÄN</t>
        </is>
      </c>
      <c r="G49" t="inlineStr">
        <is>
          <t>VÄNNÄS</t>
        </is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17414-2025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45757</v>
      </c>
      <c r="E50" s="1" t="n">
        <v>46322</v>
      </c>
      <c r="F50" t="inlineStr">
        <is>
          <t>VÄSTERBOTTENS LÄN</t>
        </is>
      </c>
      <c r="G50" t="inlineStr">
        <is>
          <t>VÄNNÄS</t>
        </is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9039-2024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45356</v>
      </c>
      <c r="E51" s="1" t="n">
        <v>46322</v>
      </c>
      <c r="F51" t="inlineStr">
        <is>
          <t>VÄSTERBOTTENS LÄN</t>
        </is>
      </c>
      <c r="G51" t="inlineStr">
        <is>
          <t>VÄNNÄS</t>
        </is>
      </c>
      <c r="I51" t="n">
        <v>0.9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44319-2023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45183</v>
      </c>
      <c r="E52" s="1" t="n">
        <v>46322</v>
      </c>
      <c r="F52" t="inlineStr">
        <is>
          <t>VÄSTERBOTTENS LÄN</t>
        </is>
      </c>
      <c r="G52" t="inlineStr">
        <is>
          <t>VÄNNÄS</t>
        </is>
      </c>
      <c r="I52" t="n">
        <v>2.6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8937-2025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45713</v>
      </c>
      <c r="E53" s="1" t="n">
        <v>46322</v>
      </c>
      <c r="F53" t="inlineStr">
        <is>
          <t>VÄSTERBOTTENS LÄN</t>
        </is>
      </c>
      <c r="G53" t="inlineStr">
        <is>
          <t>VÄNNÄS</t>
        </is>
      </c>
      <c r="I53" t="n">
        <v>1.5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47976-2022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44853</v>
      </c>
      <c r="E54" s="1" t="n">
        <v>46322</v>
      </c>
      <c r="F54" t="inlineStr">
        <is>
          <t>VÄSTERBOTTENS LÄN</t>
        </is>
      </c>
      <c r="G54" t="inlineStr">
        <is>
          <t>VÄNNÄS</t>
        </is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31264-2024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45503</v>
      </c>
      <c r="E55" s="1" t="n">
        <v>46322</v>
      </c>
      <c r="F55" t="inlineStr">
        <is>
          <t>VÄSTERBOTTENS LÄN</t>
        </is>
      </c>
      <c r="G55" t="inlineStr">
        <is>
          <t>VÄNNÄS</t>
        </is>
      </c>
      <c r="H55" t="inlineStr">
        <is>
          <t>Holmen skog AB</t>
        </is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31277-2024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45504</v>
      </c>
      <c r="E56" s="1" t="n">
        <v>46322</v>
      </c>
      <c r="F56" t="inlineStr">
        <is>
          <t>VÄSTERBOTTENS LÄN</t>
        </is>
      </c>
      <c r="G56" t="inlineStr">
        <is>
          <t>VÄNNÄS</t>
        </is>
      </c>
      <c r="H56" t="inlineStr">
        <is>
          <t>Holmen skog AB</t>
        </is>
      </c>
      <c r="I56" t="n">
        <v>5.2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51553-2025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45950</v>
      </c>
      <c r="E57" s="1" t="n">
        <v>46322</v>
      </c>
      <c r="F57" t="inlineStr">
        <is>
          <t>VÄSTERBOTTENS LÄN</t>
        </is>
      </c>
      <c r="G57" t="inlineStr">
        <is>
          <t>VÄNNÄS</t>
        </is>
      </c>
      <c r="I57" t="n">
        <v>0.7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51722-2025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45951</v>
      </c>
      <c r="E58" s="1" t="n">
        <v>46322</v>
      </c>
      <c r="F58" t="inlineStr">
        <is>
          <t>VÄSTERBOTTENS LÄN</t>
        </is>
      </c>
      <c r="G58" t="inlineStr">
        <is>
          <t>VÄNNÄS</t>
        </is>
      </c>
      <c r="I58" t="n">
        <v>2.7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19100-2022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44691</v>
      </c>
      <c r="E59" s="1" t="n">
        <v>46322</v>
      </c>
      <c r="F59" t="inlineStr">
        <is>
          <t>VÄSTERBOTTENS LÄN</t>
        </is>
      </c>
      <c r="G59" t="inlineStr">
        <is>
          <t>VÄNNÄS</t>
        </is>
      </c>
      <c r="I59" t="n">
        <v>1.2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51605-2025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45951</v>
      </c>
      <c r="E60" s="1" t="n">
        <v>46322</v>
      </c>
      <c r="F60" t="inlineStr">
        <is>
          <t>VÄSTERBOTTENS LÄN</t>
        </is>
      </c>
      <c r="G60" t="inlineStr">
        <is>
          <t>VÄNNÄS</t>
        </is>
      </c>
      <c r="I60" t="n">
        <v>4.7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51737-2025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45951</v>
      </c>
      <c r="E61" s="1" t="n">
        <v>46322</v>
      </c>
      <c r="F61" t="inlineStr">
        <is>
          <t>VÄSTERBOTTENS LÄN</t>
        </is>
      </c>
      <c r="G61" t="inlineStr">
        <is>
          <t>VÄNNÄS</t>
        </is>
      </c>
      <c r="I61" t="n">
        <v>2.6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32809-2024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45516</v>
      </c>
      <c r="E62" s="1" t="n">
        <v>46322</v>
      </c>
      <c r="F62" t="inlineStr">
        <is>
          <t>VÄSTERBOTTENS LÄN</t>
        </is>
      </c>
      <c r="G62" t="inlineStr">
        <is>
          <t>VÄNNÄS</t>
        </is>
      </c>
      <c r="I62" t="n">
        <v>1.7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52835-2025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45957</v>
      </c>
      <c r="E63" s="1" t="n">
        <v>46322</v>
      </c>
      <c r="F63" t="inlineStr">
        <is>
          <t>VÄSTERBOTTENS LÄN</t>
        </is>
      </c>
      <c r="G63" t="inlineStr">
        <is>
          <t>VÄNNÄS</t>
        </is>
      </c>
      <c r="I63" t="n">
        <v>1.5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52845-2025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45957</v>
      </c>
      <c r="E64" s="1" t="n">
        <v>46322</v>
      </c>
      <c r="F64" t="inlineStr">
        <is>
          <t>VÄSTERBOTTENS LÄN</t>
        </is>
      </c>
      <c r="G64" t="inlineStr">
        <is>
          <t>VÄNNÄS</t>
        </is>
      </c>
      <c r="I64" t="n">
        <v>2.7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52842-2025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45957</v>
      </c>
      <c r="E65" s="1" t="n">
        <v>46322</v>
      </c>
      <c r="F65" t="inlineStr">
        <is>
          <t>VÄSTERBOTTENS LÄN</t>
        </is>
      </c>
      <c r="G65" t="inlineStr">
        <is>
          <t>VÄNNÄS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52820-2025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45957</v>
      </c>
      <c r="E66" s="1" t="n">
        <v>46322</v>
      </c>
      <c r="F66" t="inlineStr">
        <is>
          <t>VÄSTERBOTTENS LÄN</t>
        </is>
      </c>
      <c r="G66" t="inlineStr">
        <is>
          <t>VÄNNÄS</t>
        </is>
      </c>
      <c r="I66" t="n">
        <v>3.3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31865-2023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45118</v>
      </c>
      <c r="E67" s="1" t="n">
        <v>46322</v>
      </c>
      <c r="F67" t="inlineStr">
        <is>
          <t>VÄSTERBOTTENS LÄN</t>
        </is>
      </c>
      <c r="G67" t="inlineStr">
        <is>
          <t>VÄNNÄS</t>
        </is>
      </c>
      <c r="I67" t="n">
        <v>0.8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21437-2025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45782</v>
      </c>
      <c r="E68" s="1" t="n">
        <v>46322</v>
      </c>
      <c r="F68" t="inlineStr">
        <is>
          <t>VÄSTERBOTTENS LÄN</t>
        </is>
      </c>
      <c r="G68" t="inlineStr">
        <is>
          <t>VÄNNÄS</t>
        </is>
      </c>
      <c r="I68" t="n">
        <v>0.8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54570-2025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45965</v>
      </c>
      <c r="E69" s="1" t="n">
        <v>46322</v>
      </c>
      <c r="F69" t="inlineStr">
        <is>
          <t>VÄSTERBOTTENS LÄN</t>
        </is>
      </c>
      <c r="G69" t="inlineStr">
        <is>
          <t>VÄNNÄS</t>
        </is>
      </c>
      <c r="I69" t="n">
        <v>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54243-2025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45964</v>
      </c>
      <c r="E70" s="1" t="n">
        <v>46322</v>
      </c>
      <c r="F70" t="inlineStr">
        <is>
          <t>VÄSTERBOTTENS LÄN</t>
        </is>
      </c>
      <c r="G70" t="inlineStr">
        <is>
          <t>VÄNNÄS</t>
        </is>
      </c>
      <c r="I70" t="n">
        <v>6.7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21361-2025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45782</v>
      </c>
      <c r="E71" s="1" t="n">
        <v>46322</v>
      </c>
      <c r="F71" t="inlineStr">
        <is>
          <t>VÄSTERBOTTENS LÄN</t>
        </is>
      </c>
      <c r="G71" t="inlineStr">
        <is>
          <t>VÄNNÄS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54562-2025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45965</v>
      </c>
      <c r="E72" s="1" t="n">
        <v>46322</v>
      </c>
      <c r="F72" t="inlineStr">
        <is>
          <t>VÄSTERBOTTENS LÄN</t>
        </is>
      </c>
      <c r="G72" t="inlineStr">
        <is>
          <t>VÄNNÄS</t>
        </is>
      </c>
      <c r="I72" t="n">
        <v>1.5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35354-2023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45146</v>
      </c>
      <c r="E73" s="1" t="n">
        <v>46322</v>
      </c>
      <c r="F73" t="inlineStr">
        <is>
          <t>VÄSTERBOTTENS LÄN</t>
        </is>
      </c>
      <c r="G73" t="inlineStr">
        <is>
          <t>VÄNNÄS</t>
        </is>
      </c>
      <c r="I73" t="n">
        <v>1.3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28615-2023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45103</v>
      </c>
      <c r="E74" s="1" t="n">
        <v>46322</v>
      </c>
      <c r="F74" t="inlineStr">
        <is>
          <t>VÄSTERBOTTENS LÄN</t>
        </is>
      </c>
      <c r="G74" t="inlineStr">
        <is>
          <t>VÄNNÄS</t>
        </is>
      </c>
      <c r="I74" t="n">
        <v>5.2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56320-2025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45974</v>
      </c>
      <c r="E75" s="1" t="n">
        <v>46322</v>
      </c>
      <c r="F75" t="inlineStr">
        <is>
          <t>VÄSTERBOTTENS LÄN</t>
        </is>
      </c>
      <c r="G75" t="inlineStr">
        <is>
          <t>VÄNNÄS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56513-2025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45975</v>
      </c>
      <c r="E76" s="1" t="n">
        <v>46322</v>
      </c>
      <c r="F76" t="inlineStr">
        <is>
          <t>VÄSTERBOTTENS LÄN</t>
        </is>
      </c>
      <c r="G76" t="inlineStr">
        <is>
          <t>VÄNNÄS</t>
        </is>
      </c>
      <c r="I76" t="n">
        <v>8.5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56622-2025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45975</v>
      </c>
      <c r="E77" s="1" t="n">
        <v>46322</v>
      </c>
      <c r="F77" t="inlineStr">
        <is>
          <t>VÄSTERBOTTENS LÄN</t>
        </is>
      </c>
      <c r="G77" t="inlineStr">
        <is>
          <t>VÄNNÄS</t>
        </is>
      </c>
      <c r="I77" t="n">
        <v>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56553-2025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45975</v>
      </c>
      <c r="E78" s="1" t="n">
        <v>46322</v>
      </c>
      <c r="F78" t="inlineStr">
        <is>
          <t>VÄSTERBOTTENS LÄN</t>
        </is>
      </c>
      <c r="G78" t="inlineStr">
        <is>
          <t>VÄNNÄS</t>
        </is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56329-2025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45974</v>
      </c>
      <c r="E79" s="1" t="n">
        <v>46322</v>
      </c>
      <c r="F79" t="inlineStr">
        <is>
          <t>VÄSTERBOTTENS LÄN</t>
        </is>
      </c>
      <c r="G79" t="inlineStr">
        <is>
          <t>VÄNNÄS</t>
        </is>
      </c>
      <c r="I79" t="n">
        <v>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56831-2025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45978</v>
      </c>
      <c r="E80" s="1" t="n">
        <v>46322</v>
      </c>
      <c r="F80" t="inlineStr">
        <is>
          <t>VÄSTERBOTTENS LÄN</t>
        </is>
      </c>
      <c r="G80" t="inlineStr">
        <is>
          <t>VÄNNÄS</t>
        </is>
      </c>
      <c r="I80" t="n">
        <v>0.9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45126-2023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45187</v>
      </c>
      <c r="E81" s="1" t="n">
        <v>46322</v>
      </c>
      <c r="F81" t="inlineStr">
        <is>
          <t>VÄSTERBOTTENS LÄN</t>
        </is>
      </c>
      <c r="G81" t="inlineStr">
        <is>
          <t>VÄNNÄS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23101-2025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45791</v>
      </c>
      <c r="E82" s="1" t="n">
        <v>46322</v>
      </c>
      <c r="F82" t="inlineStr">
        <is>
          <t>VÄSTERBOTTENS LÄN</t>
        </is>
      </c>
      <c r="G82" t="inlineStr">
        <is>
          <t>VÄNNÄS</t>
        </is>
      </c>
      <c r="H82" t="inlineStr">
        <is>
          <t>Holmen skog AB</t>
        </is>
      </c>
      <c r="I82" t="n">
        <v>8.199999999999999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56833-2025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45978</v>
      </c>
      <c r="E83" s="1" t="n">
        <v>46322</v>
      </c>
      <c r="F83" t="inlineStr">
        <is>
          <t>VÄSTERBOTTENS LÄN</t>
        </is>
      </c>
      <c r="G83" t="inlineStr">
        <is>
          <t>VÄNNÄS</t>
        </is>
      </c>
      <c r="I83" t="n">
        <v>2.7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56835-2025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45978</v>
      </c>
      <c r="E84" s="1" t="n">
        <v>46322</v>
      </c>
      <c r="F84" t="inlineStr">
        <is>
          <t>VÄSTERBOTTENS LÄN</t>
        </is>
      </c>
      <c r="G84" t="inlineStr">
        <is>
          <t>VÄNNÄS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56966-2025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45978</v>
      </c>
      <c r="E85" s="1" t="n">
        <v>46322</v>
      </c>
      <c r="F85" t="inlineStr">
        <is>
          <t>VÄSTERBOTTENS LÄN</t>
        </is>
      </c>
      <c r="G85" t="inlineStr">
        <is>
          <t>VÄNNÄS</t>
        </is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23205-2025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45791</v>
      </c>
      <c r="E86" s="1" t="n">
        <v>46322</v>
      </c>
      <c r="F86" t="inlineStr">
        <is>
          <t>VÄSTERBOTTENS LÄN</t>
        </is>
      </c>
      <c r="G86" t="inlineStr">
        <is>
          <t>VÄNNÄS</t>
        </is>
      </c>
      <c r="H86" t="inlineStr">
        <is>
          <t>Holmen skog AB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22900-2025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45790</v>
      </c>
      <c r="E87" s="1" t="n">
        <v>46322</v>
      </c>
      <c r="F87" t="inlineStr">
        <is>
          <t>VÄSTERBOTTENS LÄN</t>
        </is>
      </c>
      <c r="G87" t="inlineStr">
        <is>
          <t>VÄNNÄS</t>
        </is>
      </c>
      <c r="H87" t="inlineStr">
        <is>
          <t>Holmen skog AB</t>
        </is>
      </c>
      <c r="I87" t="n">
        <v>1.5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57777-2023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45246</v>
      </c>
      <c r="E88" s="1" t="n">
        <v>46322</v>
      </c>
      <c r="F88" t="inlineStr">
        <is>
          <t>VÄSTERBOTTENS LÄN</t>
        </is>
      </c>
      <c r="G88" t="inlineStr">
        <is>
          <t>VÄNNÄS</t>
        </is>
      </c>
      <c r="I88" t="n">
        <v>4.9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57448-2025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45980</v>
      </c>
      <c r="E89" s="1" t="n">
        <v>46322</v>
      </c>
      <c r="F89" t="inlineStr">
        <is>
          <t>VÄSTERBOTTENS LÄN</t>
        </is>
      </c>
      <c r="G89" t="inlineStr">
        <is>
          <t>VÄNNÄS</t>
        </is>
      </c>
      <c r="H89" t="inlineStr">
        <is>
          <t>Sveaskog</t>
        </is>
      </c>
      <c r="I89" t="n">
        <v>2.9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57347-2025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45980</v>
      </c>
      <c r="E90" s="1" t="n">
        <v>46322</v>
      </c>
      <c r="F90" t="inlineStr">
        <is>
          <t>VÄSTERBOTTENS LÄN</t>
        </is>
      </c>
      <c r="G90" t="inlineStr">
        <is>
          <t>VÄNNÄS</t>
        </is>
      </c>
      <c r="I90" t="n">
        <v>6.9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57424-2025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45980</v>
      </c>
      <c r="E91" s="1" t="n">
        <v>46322</v>
      </c>
      <c r="F91" t="inlineStr">
        <is>
          <t>VÄSTERBOTTENS LÄN</t>
        </is>
      </c>
      <c r="G91" t="inlineStr">
        <is>
          <t>VÄNNÄS</t>
        </is>
      </c>
      <c r="H91" t="inlineStr">
        <is>
          <t>Sveaskog</t>
        </is>
      </c>
      <c r="I91" t="n">
        <v>3.7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23776-2025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45793</v>
      </c>
      <c r="E92" s="1" t="n">
        <v>46322</v>
      </c>
      <c r="F92" t="inlineStr">
        <is>
          <t>VÄSTERBOTTENS LÄN</t>
        </is>
      </c>
      <c r="G92" t="inlineStr">
        <is>
          <t>VÄNNÄS</t>
        </is>
      </c>
      <c r="I92" t="n">
        <v>8.1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23453-2025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45792</v>
      </c>
      <c r="E93" s="1" t="n">
        <v>46322</v>
      </c>
      <c r="F93" t="inlineStr">
        <is>
          <t>VÄSTERBOTTENS LÄN</t>
        </is>
      </c>
      <c r="G93" t="inlineStr">
        <is>
          <t>VÄNNÄS</t>
        </is>
      </c>
      <c r="H93" t="inlineStr">
        <is>
          <t>Holmen skog AB</t>
        </is>
      </c>
      <c r="I93" t="n">
        <v>1.1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23465-2025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45792</v>
      </c>
      <c r="E94" s="1" t="n">
        <v>46322</v>
      </c>
      <c r="F94" t="inlineStr">
        <is>
          <t>VÄSTERBOTTENS LÄN</t>
        </is>
      </c>
      <c r="G94" t="inlineStr">
        <is>
          <t>VÄNNÄS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58637-2025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45986</v>
      </c>
      <c r="E95" s="1" t="n">
        <v>46322</v>
      </c>
      <c r="F95" t="inlineStr">
        <is>
          <t>VÄSTERBOTTENS LÄN</t>
        </is>
      </c>
      <c r="G95" t="inlineStr">
        <is>
          <t>VÄNNÄS</t>
        </is>
      </c>
      <c r="I95" t="n">
        <v>4.4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24342-2025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45797</v>
      </c>
      <c r="E96" s="1" t="n">
        <v>46322</v>
      </c>
      <c r="F96" t="inlineStr">
        <is>
          <t>VÄSTERBOTTENS LÄN</t>
        </is>
      </c>
      <c r="G96" t="inlineStr">
        <is>
          <t>VÄNNÄS</t>
        </is>
      </c>
      <c r="I96" t="n">
        <v>1.9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24346-2025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45797</v>
      </c>
      <c r="E97" s="1" t="n">
        <v>46322</v>
      </c>
      <c r="F97" t="inlineStr">
        <is>
          <t>VÄSTERBOTTENS LÄN</t>
        </is>
      </c>
      <c r="G97" t="inlineStr">
        <is>
          <t>VÄNNÄS</t>
        </is>
      </c>
      <c r="I97" t="n">
        <v>2.3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59867-2025</t>
        </is>
      </c>
      <c r="B98" t="inlineStr">
        <is>
          <t>avverkningsanmälan</t>
        </is>
      </c>
      <c r="C98" t="inlineStr">
        <is>
          <t>Avverkning för annat ändamål</t>
        </is>
      </c>
      <c r="D98" s="1" t="n">
        <v>45992</v>
      </c>
      <c r="E98" s="1" t="n">
        <v>46322</v>
      </c>
      <c r="F98" t="inlineStr">
        <is>
          <t>VÄSTERBOTTENS LÄN</t>
        </is>
      </c>
      <c r="G98" t="inlineStr">
        <is>
          <t>VÄNNÄS</t>
        </is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24756-2025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45799</v>
      </c>
      <c r="E99" s="1" t="n">
        <v>46322</v>
      </c>
      <c r="F99" t="inlineStr">
        <is>
          <t>VÄSTERBOTTENS LÄN</t>
        </is>
      </c>
      <c r="G99" t="inlineStr">
        <is>
          <t>VÄNNÄS</t>
        </is>
      </c>
      <c r="I99" t="n">
        <v>3.8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24812-2025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45799</v>
      </c>
      <c r="E100" s="1" t="n">
        <v>46322</v>
      </c>
      <c r="F100" t="inlineStr">
        <is>
          <t>VÄSTERBOTTENS LÄN</t>
        </is>
      </c>
      <c r="G100" t="inlineStr">
        <is>
          <t>VÄNNÄS</t>
        </is>
      </c>
      <c r="I100" t="n">
        <v>2.6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24792-2025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45799</v>
      </c>
      <c r="E101" s="1" t="n">
        <v>46322</v>
      </c>
      <c r="F101" t="inlineStr">
        <is>
          <t>VÄSTERBOTTENS LÄN</t>
        </is>
      </c>
      <c r="G101" t="inlineStr">
        <is>
          <t>VÄNNÄS</t>
        </is>
      </c>
      <c r="I101" t="n">
        <v>1.9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24868-2025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45799</v>
      </c>
      <c r="E102" s="1" t="n">
        <v>46322</v>
      </c>
      <c r="F102" t="inlineStr">
        <is>
          <t>VÄSTERBOTTENS LÄN</t>
        </is>
      </c>
      <c r="G102" t="inlineStr">
        <is>
          <t>VÄNNÄS</t>
        </is>
      </c>
      <c r="I102" t="n">
        <v>1.8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24856-2025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45799</v>
      </c>
      <c r="E103" s="1" t="n">
        <v>46322</v>
      </c>
      <c r="F103" t="inlineStr">
        <is>
          <t>VÄSTERBOTTENS LÄN</t>
        </is>
      </c>
      <c r="G103" t="inlineStr">
        <is>
          <t>VÄNNÄS</t>
        </is>
      </c>
      <c r="I103" t="n">
        <v>1.6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60533-2025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45995</v>
      </c>
      <c r="E104" s="1" t="n">
        <v>46322</v>
      </c>
      <c r="F104" t="inlineStr">
        <is>
          <t>VÄSTERBOTTENS LÄN</t>
        </is>
      </c>
      <c r="G104" t="inlineStr">
        <is>
          <t>VÄNNÄS</t>
        </is>
      </c>
      <c r="I104" t="n">
        <v>0.9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60619-2025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45996</v>
      </c>
      <c r="E105" s="1" t="n">
        <v>46322</v>
      </c>
      <c r="F105" t="inlineStr">
        <is>
          <t>VÄSTERBOTTENS LÄN</t>
        </is>
      </c>
      <c r="G105" t="inlineStr">
        <is>
          <t>VÄNNÄS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25205-2025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45800</v>
      </c>
      <c r="E106" s="1" t="n">
        <v>46322</v>
      </c>
      <c r="F106" t="inlineStr">
        <is>
          <t>VÄSTERBOTTENS LÄN</t>
        </is>
      </c>
      <c r="G106" t="inlineStr">
        <is>
          <t>VÄNNÄS</t>
        </is>
      </c>
      <c r="I106" t="n">
        <v>1.4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25206-2025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45800</v>
      </c>
      <c r="E107" s="1" t="n">
        <v>46322</v>
      </c>
      <c r="F107" t="inlineStr">
        <is>
          <t>VÄSTERBOTTENS LÄN</t>
        </is>
      </c>
      <c r="G107" t="inlineStr">
        <is>
          <t>VÄNNÄS</t>
        </is>
      </c>
      <c r="I107" t="n">
        <v>2.2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3584-2025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45680</v>
      </c>
      <c r="E108" s="1" t="n">
        <v>46322</v>
      </c>
      <c r="F108" t="inlineStr">
        <is>
          <t>VÄSTERBOTTENS LÄN</t>
        </is>
      </c>
      <c r="G108" t="inlineStr">
        <is>
          <t>VÄNNÄS</t>
        </is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61176-2025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46000</v>
      </c>
      <c r="E109" s="1" t="n">
        <v>46322</v>
      </c>
      <c r="F109" t="inlineStr">
        <is>
          <t>VÄSTERBOTTENS LÄN</t>
        </is>
      </c>
      <c r="G109" t="inlineStr">
        <is>
          <t>VÄNNÄS</t>
        </is>
      </c>
      <c r="I109" t="n">
        <v>8.300000000000001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61221-2025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46000</v>
      </c>
      <c r="E110" s="1" t="n">
        <v>46322</v>
      </c>
      <c r="F110" t="inlineStr">
        <is>
          <t>VÄSTERBOTTENS LÄN</t>
        </is>
      </c>
      <c r="G110" t="inlineStr">
        <is>
          <t>VÄNNÄS</t>
        </is>
      </c>
      <c r="I110" t="n">
        <v>0.6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61216-2025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46000</v>
      </c>
      <c r="E111" s="1" t="n">
        <v>46322</v>
      </c>
      <c r="F111" t="inlineStr">
        <is>
          <t>VÄSTERBOTTENS LÄN</t>
        </is>
      </c>
      <c r="G111" t="inlineStr">
        <is>
          <t>VÄNNÄS</t>
        </is>
      </c>
      <c r="I111" t="n">
        <v>4.2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61142-2025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46000</v>
      </c>
      <c r="E112" s="1" t="n">
        <v>46322</v>
      </c>
      <c r="F112" t="inlineStr">
        <is>
          <t>VÄSTERBOTTENS LÄN</t>
        </is>
      </c>
      <c r="G112" t="inlineStr">
        <is>
          <t>VÄNNÄS</t>
        </is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61155-2025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46000</v>
      </c>
      <c r="E113" s="1" t="n">
        <v>46322</v>
      </c>
      <c r="F113" t="inlineStr">
        <is>
          <t>VÄSTERBOTTENS LÄN</t>
        </is>
      </c>
      <c r="G113" t="inlineStr">
        <is>
          <t>VÄNNÄS</t>
        </is>
      </c>
      <c r="I113" t="n">
        <v>2.4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61158-2025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46000</v>
      </c>
      <c r="E114" s="1" t="n">
        <v>46322</v>
      </c>
      <c r="F114" t="inlineStr">
        <is>
          <t>VÄSTERBOTTENS LÄN</t>
        </is>
      </c>
      <c r="G114" t="inlineStr">
        <is>
          <t>VÄNNÄS</t>
        </is>
      </c>
      <c r="I114" t="n">
        <v>0.9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61182-2025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46000</v>
      </c>
      <c r="E115" s="1" t="n">
        <v>46322</v>
      </c>
      <c r="F115" t="inlineStr">
        <is>
          <t>VÄSTERBOTTENS LÄN</t>
        </is>
      </c>
      <c r="G115" t="inlineStr">
        <is>
          <t>VÄNNÄS</t>
        </is>
      </c>
      <c r="I115" t="n">
        <v>1.8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61204-2025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46000</v>
      </c>
      <c r="E116" s="1" t="n">
        <v>46322</v>
      </c>
      <c r="F116" t="inlineStr">
        <is>
          <t>VÄSTERBOTTENS LÄN</t>
        </is>
      </c>
      <c r="G116" t="inlineStr">
        <is>
          <t>VÄNNÄS</t>
        </is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61127-2025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46000</v>
      </c>
      <c r="E117" s="1" t="n">
        <v>46322</v>
      </c>
      <c r="F117" t="inlineStr">
        <is>
          <t>VÄSTERBOTTENS LÄN</t>
        </is>
      </c>
      <c r="G117" t="inlineStr">
        <is>
          <t>VÄNNÄS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61118-2025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46000</v>
      </c>
      <c r="E118" s="1" t="n">
        <v>46322</v>
      </c>
      <c r="F118" t="inlineStr">
        <is>
          <t>VÄSTERBOTTENS LÄN</t>
        </is>
      </c>
      <c r="G118" t="inlineStr">
        <is>
          <t>VÄNNÄS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30221-2023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45099</v>
      </c>
      <c r="E119" s="1" t="n">
        <v>46322</v>
      </c>
      <c r="F119" t="inlineStr">
        <is>
          <t>VÄSTERBOTTENS LÄN</t>
        </is>
      </c>
      <c r="G119" t="inlineStr">
        <is>
          <t>VÄNNÄS</t>
        </is>
      </c>
      <c r="I119" t="n">
        <v>0.8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31132-2023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45103</v>
      </c>
      <c r="E120" s="1" t="n">
        <v>46322</v>
      </c>
      <c r="F120" t="inlineStr">
        <is>
          <t>VÄSTERBOTTENS LÄN</t>
        </is>
      </c>
      <c r="G120" t="inlineStr">
        <is>
          <t>VÄNNÄS</t>
        </is>
      </c>
      <c r="I120" t="n">
        <v>4.2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35349-2023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45146</v>
      </c>
      <c r="E121" s="1" t="n">
        <v>46322</v>
      </c>
      <c r="F121" t="inlineStr">
        <is>
          <t>VÄSTERBOTTENS LÄN</t>
        </is>
      </c>
      <c r="G121" t="inlineStr">
        <is>
          <t>VÄNNÄS</t>
        </is>
      </c>
      <c r="I121" t="n">
        <v>5.4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28752-2026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46198</v>
      </c>
      <c r="E122" s="1" t="n">
        <v>46322</v>
      </c>
      <c r="F122" t="inlineStr">
        <is>
          <t>VÄSTERBOTTENS LÄN</t>
        </is>
      </c>
      <c r="G122" t="inlineStr">
        <is>
          <t>VÄNNÄS</t>
        </is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47771-2022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44854</v>
      </c>
      <c r="E123" s="1" t="n">
        <v>46322</v>
      </c>
      <c r="F123" t="inlineStr">
        <is>
          <t>VÄSTERBOTTENS LÄN</t>
        </is>
      </c>
      <c r="G123" t="inlineStr">
        <is>
          <t>VÄNNÄS</t>
        </is>
      </c>
      <c r="I123" t="n">
        <v>2.2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9026-2024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45356</v>
      </c>
      <c r="E124" s="1" t="n">
        <v>46322</v>
      </c>
      <c r="F124" t="inlineStr">
        <is>
          <t>VÄSTERBOTTENS LÄN</t>
        </is>
      </c>
      <c r="G124" t="inlineStr">
        <is>
          <t>VÄNNÄS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42141-2023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45177</v>
      </c>
      <c r="E125" s="1" t="n">
        <v>46322</v>
      </c>
      <c r="F125" t="inlineStr">
        <is>
          <t>VÄSTERBOTTENS LÄN</t>
        </is>
      </c>
      <c r="G125" t="inlineStr">
        <is>
          <t>VÄNNÄS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63160-2025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46010</v>
      </c>
      <c r="E126" s="1" t="n">
        <v>46322</v>
      </c>
      <c r="F126" t="inlineStr">
        <is>
          <t>VÄSTERBOTTENS LÄN</t>
        </is>
      </c>
      <c r="G126" t="inlineStr">
        <is>
          <t>VÄNNÄS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63447-2025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46013</v>
      </c>
      <c r="E127" s="1" t="n">
        <v>46322</v>
      </c>
      <c r="F127" t="inlineStr">
        <is>
          <t>VÄSTERBOTTENS LÄN</t>
        </is>
      </c>
      <c r="G127" t="inlineStr">
        <is>
          <t>VÄNNÄS</t>
        </is>
      </c>
      <c r="H127" t="inlineStr">
        <is>
          <t>Sveaskog</t>
        </is>
      </c>
      <c r="I127" t="n">
        <v>21.4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30163-2025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45827</v>
      </c>
      <c r="E128" s="1" t="n">
        <v>46322</v>
      </c>
      <c r="F128" t="inlineStr">
        <is>
          <t>VÄSTERBOTTENS LÄN</t>
        </is>
      </c>
      <c r="G128" t="inlineStr">
        <is>
          <t>VÄNNÄS</t>
        </is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59771-2023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45257</v>
      </c>
      <c r="E129" s="1" t="n">
        <v>46322</v>
      </c>
      <c r="F129" t="inlineStr">
        <is>
          <t>VÄSTERBOTTENS LÄN</t>
        </is>
      </c>
      <c r="G129" t="inlineStr">
        <is>
          <t>VÄNNÄS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46434-2022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44846</v>
      </c>
      <c r="E130" s="1" t="n">
        <v>46322</v>
      </c>
      <c r="F130" t="inlineStr">
        <is>
          <t>VÄSTERBOTTENS LÄN</t>
        </is>
      </c>
      <c r="G130" t="inlineStr">
        <is>
          <t>VÄNNÄS</t>
        </is>
      </c>
      <c r="I130" t="n">
        <v>0.8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31986-2025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45835</v>
      </c>
      <c r="E131" s="1" t="n">
        <v>46322</v>
      </c>
      <c r="F131" t="inlineStr">
        <is>
          <t>VÄSTERBOTTENS LÄN</t>
        </is>
      </c>
      <c r="G131" t="inlineStr">
        <is>
          <t>VÄNNÄS</t>
        </is>
      </c>
      <c r="I131" t="n">
        <v>2.8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862-2026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46030</v>
      </c>
      <c r="E132" s="1" t="n">
        <v>46322</v>
      </c>
      <c r="F132" t="inlineStr">
        <is>
          <t>VÄSTERBOTTENS LÄN</t>
        </is>
      </c>
      <c r="G132" t="inlineStr">
        <is>
          <t>VÄNNÄS</t>
        </is>
      </c>
      <c r="I132" t="n">
        <v>0.8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35755-2024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45532</v>
      </c>
      <c r="E133" s="1" t="n">
        <v>46322</v>
      </c>
      <c r="F133" t="inlineStr">
        <is>
          <t>VÄSTERBOTTENS LÄN</t>
        </is>
      </c>
      <c r="G133" t="inlineStr">
        <is>
          <t>VÄNNÄS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32956-2024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45517</v>
      </c>
      <c r="E134" s="1" t="n">
        <v>46322</v>
      </c>
      <c r="F134" t="inlineStr">
        <is>
          <t>VÄSTERBOTTENS LÄN</t>
        </is>
      </c>
      <c r="G134" t="inlineStr">
        <is>
          <t>VÄNNÄS</t>
        </is>
      </c>
      <c r="H134" t="inlineStr">
        <is>
          <t>Holmen skog AB</t>
        </is>
      </c>
      <c r="I134" t="n">
        <v>2.6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1633-2026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46034</v>
      </c>
      <c r="E135" s="1" t="n">
        <v>46322</v>
      </c>
      <c r="F135" t="inlineStr">
        <is>
          <t>VÄSTERBOTTENS LÄN</t>
        </is>
      </c>
      <c r="G135" t="inlineStr">
        <is>
          <t>VÄNNÄS</t>
        </is>
      </c>
      <c r="I135" t="n">
        <v>1.9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2018-2025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45672</v>
      </c>
      <c r="E136" s="1" t="n">
        <v>46322</v>
      </c>
      <c r="F136" t="inlineStr">
        <is>
          <t>VÄSTERBOTTENS LÄN</t>
        </is>
      </c>
      <c r="G136" t="inlineStr">
        <is>
          <t>VÄNNÄS</t>
        </is>
      </c>
      <c r="H136" t="inlineStr">
        <is>
          <t>Kommuner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2020-2025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45672</v>
      </c>
      <c r="E137" s="1" t="n">
        <v>46322</v>
      </c>
      <c r="F137" t="inlineStr">
        <is>
          <t>VÄSTERBOTTENS LÄN</t>
        </is>
      </c>
      <c r="G137" t="inlineStr">
        <is>
          <t>VÄNNÄS</t>
        </is>
      </c>
      <c r="H137" t="inlineStr">
        <is>
          <t>Kommuner</t>
        </is>
      </c>
      <c r="I137" t="n">
        <v>3.6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12425-2025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45730</v>
      </c>
      <c r="E138" s="1" t="n">
        <v>46322</v>
      </c>
      <c r="F138" t="inlineStr">
        <is>
          <t>VÄSTERBOTTENS LÄN</t>
        </is>
      </c>
      <c r="G138" t="inlineStr">
        <is>
          <t>VÄNNÄS</t>
        </is>
      </c>
      <c r="I138" t="n">
        <v>2.9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1614-2026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46034</v>
      </c>
      <c r="E139" s="1" t="n">
        <v>46322</v>
      </c>
      <c r="F139" t="inlineStr">
        <is>
          <t>VÄSTERBOTTENS LÄN</t>
        </is>
      </c>
      <c r="G139" t="inlineStr">
        <is>
          <t>VÄNNÄS</t>
        </is>
      </c>
      <c r="I139" t="n">
        <v>9.1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2072-2026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46036</v>
      </c>
      <c r="E140" s="1" t="n">
        <v>46322</v>
      </c>
      <c r="F140" t="inlineStr">
        <is>
          <t>VÄSTERBOTTENS LÄN</t>
        </is>
      </c>
      <c r="G140" t="inlineStr">
        <is>
          <t>VÄNNÄS</t>
        </is>
      </c>
      <c r="I140" t="n">
        <v>0.7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3540-2026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46042</v>
      </c>
      <c r="E141" s="1" t="n">
        <v>46322</v>
      </c>
      <c r="F141" t="inlineStr">
        <is>
          <t>VÄSTERBOTTENS LÄN</t>
        </is>
      </c>
      <c r="G141" t="inlineStr">
        <is>
          <t>VÄNNÄS</t>
        </is>
      </c>
      <c r="I141" t="n">
        <v>0.8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3538-2026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46042</v>
      </c>
      <c r="E142" s="1" t="n">
        <v>46322</v>
      </c>
      <c r="F142" t="inlineStr">
        <is>
          <t>VÄSTERBOTTENS LÄN</t>
        </is>
      </c>
      <c r="G142" t="inlineStr">
        <is>
          <t>VÄNNÄS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1058-2023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44929</v>
      </c>
      <c r="E143" s="1" t="n">
        <v>46322</v>
      </c>
      <c r="F143" t="inlineStr">
        <is>
          <t>VÄSTERBOTTENS LÄN</t>
        </is>
      </c>
      <c r="G143" t="inlineStr">
        <is>
          <t>VÄNNÄS</t>
        </is>
      </c>
      <c r="I143" t="n">
        <v>2.2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4081-2026</t>
        </is>
      </c>
      <c r="B144" t="inlineStr">
        <is>
          <t>avverkningsanmälan</t>
        </is>
      </c>
      <c r="C144" t="inlineStr">
        <is>
          <t>Avverkning för annat ändamål</t>
        </is>
      </c>
      <c r="D144" s="1" t="n">
        <v>46044</v>
      </c>
      <c r="E144" s="1" t="n">
        <v>46322</v>
      </c>
      <c r="F144" t="inlineStr">
        <is>
          <t>VÄSTERBOTTENS LÄN</t>
        </is>
      </c>
      <c r="G144" t="inlineStr">
        <is>
          <t>VÄNNÄS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4108-2026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46044</v>
      </c>
      <c r="E145" s="1" t="n">
        <v>46322</v>
      </c>
      <c r="F145" t="inlineStr">
        <is>
          <t>VÄSTERBOTTENS LÄN</t>
        </is>
      </c>
      <c r="G145" t="inlineStr">
        <is>
          <t>VÄNNÄS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4090-2026</t>
        </is>
      </c>
      <c r="B146" t="inlineStr">
        <is>
          <t>avverkningsanmälan</t>
        </is>
      </c>
      <c r="C146" t="inlineStr">
        <is>
          <t>Avverkning för annat ändamål</t>
        </is>
      </c>
      <c r="D146" s="1" t="n">
        <v>46044</v>
      </c>
      <c r="E146" s="1" t="n">
        <v>46322</v>
      </c>
      <c r="F146" t="inlineStr">
        <is>
          <t>VÄSTERBOTTENS LÄN</t>
        </is>
      </c>
      <c r="G146" t="inlineStr">
        <is>
          <t>VÄNNÄS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4685-2026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46048</v>
      </c>
      <c r="E147" s="1" t="n">
        <v>46322</v>
      </c>
      <c r="F147" t="inlineStr">
        <is>
          <t>VÄSTERBOTTENS LÄN</t>
        </is>
      </c>
      <c r="G147" t="inlineStr">
        <is>
          <t>VÄNNÄS</t>
        </is>
      </c>
      <c r="I147" t="n">
        <v>0.8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4870-2026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46048</v>
      </c>
      <c r="E148" s="1" t="n">
        <v>46322</v>
      </c>
      <c r="F148" t="inlineStr">
        <is>
          <t>VÄSTERBOTTENS LÄN</t>
        </is>
      </c>
      <c r="G148" t="inlineStr">
        <is>
          <t>VÄNNÄS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1438-2025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45669</v>
      </c>
      <c r="E149" s="1" t="n">
        <v>46322</v>
      </c>
      <c r="F149" t="inlineStr">
        <is>
          <t>VÄSTERBOTTENS LÄN</t>
        </is>
      </c>
      <c r="G149" t="inlineStr">
        <is>
          <t>VÄNNÄS</t>
        </is>
      </c>
      <c r="I149" t="n">
        <v>4.3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8993-2024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45357</v>
      </c>
      <c r="E150" s="1" t="n">
        <v>46322</v>
      </c>
      <c r="F150" t="inlineStr">
        <is>
          <t>VÄSTERBOTTENS LÄN</t>
        </is>
      </c>
      <c r="G150" t="inlineStr">
        <is>
          <t>VÄNNÄS</t>
        </is>
      </c>
      <c r="I150" t="n">
        <v>0.4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46501-2024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45582</v>
      </c>
      <c r="E151" s="1" t="n">
        <v>46322</v>
      </c>
      <c r="F151" t="inlineStr">
        <is>
          <t>VÄSTERBOTTENS LÄN</t>
        </is>
      </c>
      <c r="G151" t="inlineStr">
        <is>
          <t>VÄNNÄS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25347-2024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45462</v>
      </c>
      <c r="E152" s="1" t="n">
        <v>46322</v>
      </c>
      <c r="F152" t="inlineStr">
        <is>
          <t>VÄSTERBOTTENS LÄN</t>
        </is>
      </c>
      <c r="G152" t="inlineStr">
        <is>
          <t>VÄNNÄS</t>
        </is>
      </c>
      <c r="I152" t="n">
        <v>1.4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52255-2024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45608</v>
      </c>
      <c r="E153" s="1" t="n">
        <v>46322</v>
      </c>
      <c r="F153" t="inlineStr">
        <is>
          <t>VÄSTERBOTTENS LÄN</t>
        </is>
      </c>
      <c r="G153" t="inlineStr">
        <is>
          <t>VÄNNÄS</t>
        </is>
      </c>
      <c r="I153" t="n">
        <v>1.2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8516-2026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46065</v>
      </c>
      <c r="E154" s="1" t="n">
        <v>46322</v>
      </c>
      <c r="F154" t="inlineStr">
        <is>
          <t>VÄSTERBOTTENS LÄN</t>
        </is>
      </c>
      <c r="G154" t="inlineStr">
        <is>
          <t>VÄNNÄS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30607-2026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46210</v>
      </c>
      <c r="E155" s="1" t="n">
        <v>46322</v>
      </c>
      <c r="F155" t="inlineStr">
        <is>
          <t>VÄSTERBOTTENS LÄN</t>
        </is>
      </c>
      <c r="G155" t="inlineStr">
        <is>
          <t>VÄNNÄS</t>
        </is>
      </c>
      <c r="I155" t="n">
        <v>2.6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8697-2026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46066</v>
      </c>
      <c r="E156" s="1" t="n">
        <v>46322</v>
      </c>
      <c r="F156" t="inlineStr">
        <is>
          <t>VÄSTERBOTTENS LÄN</t>
        </is>
      </c>
      <c r="G156" t="inlineStr">
        <is>
          <t>VÄNNÄS</t>
        </is>
      </c>
      <c r="I156" t="n">
        <v>0.8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8935-2025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45713</v>
      </c>
      <c r="E157" s="1" t="n">
        <v>46322</v>
      </c>
      <c r="F157" t="inlineStr">
        <is>
          <t>VÄSTERBOTTENS LÄN</t>
        </is>
      </c>
      <c r="G157" t="inlineStr">
        <is>
          <t>VÄNNÄS</t>
        </is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8939-2025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45713</v>
      </c>
      <c r="E158" s="1" t="n">
        <v>46322</v>
      </c>
      <c r="F158" t="inlineStr">
        <is>
          <t>VÄSTERBOTTENS LÄN</t>
        </is>
      </c>
      <c r="G158" t="inlineStr">
        <is>
          <t>VÄNNÄS</t>
        </is>
      </c>
      <c r="I158" t="n">
        <v>1.1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9250-2026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46070</v>
      </c>
      <c r="E159" s="1" t="n">
        <v>46322</v>
      </c>
      <c r="F159" t="inlineStr">
        <is>
          <t>VÄSTERBOTTENS LÄN</t>
        </is>
      </c>
      <c r="G159" t="inlineStr">
        <is>
          <t>VÄNNÄS</t>
        </is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9525-2026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46071</v>
      </c>
      <c r="E160" s="1" t="n">
        <v>46322</v>
      </c>
      <c r="F160" t="inlineStr">
        <is>
          <t>VÄSTERBOTTENS LÄN</t>
        </is>
      </c>
      <c r="G160" t="inlineStr">
        <is>
          <t>VÄNNÄS</t>
        </is>
      </c>
      <c r="I160" t="n">
        <v>0.8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47472-2024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45587</v>
      </c>
      <c r="E161" s="1" t="n">
        <v>46322</v>
      </c>
      <c r="F161" t="inlineStr">
        <is>
          <t>VÄSTERBOTTENS LÄN</t>
        </is>
      </c>
      <c r="G161" t="inlineStr">
        <is>
          <t>VÄNNÄS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7871-2023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44970</v>
      </c>
      <c r="E162" s="1" t="n">
        <v>46322</v>
      </c>
      <c r="F162" t="inlineStr">
        <is>
          <t>VÄSTERBOTTENS LÄN</t>
        </is>
      </c>
      <c r="G162" t="inlineStr">
        <is>
          <t>VÄNNÄS</t>
        </is>
      </c>
      <c r="I162" t="n">
        <v>1.2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20577-2026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46140</v>
      </c>
      <c r="E163" s="1" t="n">
        <v>46322</v>
      </c>
      <c r="F163" t="inlineStr">
        <is>
          <t>VÄSTERBOTTENS LÄN</t>
        </is>
      </c>
      <c r="G163" t="inlineStr">
        <is>
          <t>VÄNNÄS</t>
        </is>
      </c>
      <c r="I163" t="n">
        <v>3.2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63980-2021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44509</v>
      </c>
      <c r="E164" s="1" t="n">
        <v>46322</v>
      </c>
      <c r="F164" t="inlineStr">
        <is>
          <t>VÄSTERBOTTENS LÄN</t>
        </is>
      </c>
      <c r="G164" t="inlineStr">
        <is>
          <t>VÄNNÄS</t>
        </is>
      </c>
      <c r="I164" t="n">
        <v>2.4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25453-2024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45463</v>
      </c>
      <c r="E165" s="1" t="n">
        <v>46322</v>
      </c>
      <c r="F165" t="inlineStr">
        <is>
          <t>VÄSTERBOTTENS LÄN</t>
        </is>
      </c>
      <c r="G165" t="inlineStr">
        <is>
          <t>VÄNNÄS</t>
        </is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1006-2023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44935</v>
      </c>
      <c r="E166" s="1" t="n">
        <v>46322</v>
      </c>
      <c r="F166" t="inlineStr">
        <is>
          <t>VÄSTERBOTTENS LÄN</t>
        </is>
      </c>
      <c r="G166" t="inlineStr">
        <is>
          <t>VÄNNÄS</t>
        </is>
      </c>
      <c r="I166" t="n">
        <v>0.7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15678-2025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45748</v>
      </c>
      <c r="E167" s="1" t="n">
        <v>46322</v>
      </c>
      <c r="F167" t="inlineStr">
        <is>
          <t>VÄSTERBOTTENS LÄN</t>
        </is>
      </c>
      <c r="G167" t="inlineStr">
        <is>
          <t>VÄNNÄS</t>
        </is>
      </c>
      <c r="I167" t="n">
        <v>7.1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53783-2024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45615</v>
      </c>
      <c r="E168" s="1" t="n">
        <v>46322</v>
      </c>
      <c r="F168" t="inlineStr">
        <is>
          <t>VÄSTERBOTTENS LÄN</t>
        </is>
      </c>
      <c r="G168" t="inlineStr">
        <is>
          <t>VÄNNÄS</t>
        </is>
      </c>
      <c r="I168" t="n">
        <v>3.8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37983-2026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46280</v>
      </c>
      <c r="E169" s="1" t="n">
        <v>46322</v>
      </c>
      <c r="F169" t="inlineStr">
        <is>
          <t>VÄSTERBOTTENS LÄN</t>
        </is>
      </c>
      <c r="G169" t="inlineStr">
        <is>
          <t>VÄNNÄS</t>
        </is>
      </c>
      <c r="I169" t="n">
        <v>6.9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17687-2026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46121</v>
      </c>
      <c r="E170" s="1" t="n">
        <v>46322</v>
      </c>
      <c r="F170" t="inlineStr">
        <is>
          <t>VÄSTERBOTTENS LÄN</t>
        </is>
      </c>
      <c r="G170" t="inlineStr">
        <is>
          <t>VÄNNÄS</t>
        </is>
      </c>
      <c r="I170" t="n">
        <v>1.2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18233-2026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46126</v>
      </c>
      <c r="E171" s="1" t="n">
        <v>46322</v>
      </c>
      <c r="F171" t="inlineStr">
        <is>
          <t>VÄSTERBOTTENS LÄN</t>
        </is>
      </c>
      <c r="G171" t="inlineStr">
        <is>
          <t>VÄNNÄS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2933-2022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44581</v>
      </c>
      <c r="E172" s="1" t="n">
        <v>46322</v>
      </c>
      <c r="F172" t="inlineStr">
        <is>
          <t>VÄSTERBOTTENS LÄN</t>
        </is>
      </c>
      <c r="G172" t="inlineStr">
        <is>
          <t>VÄNNÄS</t>
        </is>
      </c>
      <c r="I172" t="n">
        <v>1.8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52536-2023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45218</v>
      </c>
      <c r="E173" s="1" t="n">
        <v>46322</v>
      </c>
      <c r="F173" t="inlineStr">
        <is>
          <t>VÄSTERBOTTENS LÄN</t>
        </is>
      </c>
      <c r="G173" t="inlineStr">
        <is>
          <t>VÄNNÄS</t>
        </is>
      </c>
      <c r="I173" t="n">
        <v>3.8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35360-2023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45146</v>
      </c>
      <c r="E174" s="1" t="n">
        <v>46322</v>
      </c>
      <c r="F174" t="inlineStr">
        <is>
          <t>VÄSTERBOTTENS LÄN</t>
        </is>
      </c>
      <c r="G174" t="inlineStr">
        <is>
          <t>VÄNNÄS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52536-2024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45609</v>
      </c>
      <c r="E175" s="1" t="n">
        <v>46322</v>
      </c>
      <c r="F175" t="inlineStr">
        <is>
          <t>VÄSTERBOTTENS LÄN</t>
        </is>
      </c>
      <c r="G175" t="inlineStr">
        <is>
          <t>VÄNNÄS</t>
        </is>
      </c>
      <c r="I175" t="n">
        <v>1.7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12410-2025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45730</v>
      </c>
      <c r="E176" s="1" t="n">
        <v>46322</v>
      </c>
      <c r="F176" t="inlineStr">
        <is>
          <t>VÄSTERBOTTENS LÄN</t>
        </is>
      </c>
      <c r="G176" t="inlineStr">
        <is>
          <t>VÄNNÄS</t>
        </is>
      </c>
      <c r="I176" t="n">
        <v>3.4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46195-2024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45581</v>
      </c>
      <c r="E177" s="1" t="n">
        <v>46322</v>
      </c>
      <c r="F177" t="inlineStr">
        <is>
          <t>VÄSTERBOTTENS LÄN</t>
        </is>
      </c>
      <c r="G177" t="inlineStr">
        <is>
          <t>VÄNNÄS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34760-2023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45139</v>
      </c>
      <c r="E178" s="1" t="n">
        <v>46322</v>
      </c>
      <c r="F178" t="inlineStr">
        <is>
          <t>VÄSTERBOTTENS LÄN</t>
        </is>
      </c>
      <c r="G178" t="inlineStr">
        <is>
          <t>VÄNNÄS</t>
        </is>
      </c>
      <c r="I178" t="n">
        <v>0.6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26576-2025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45807</v>
      </c>
      <c r="E179" s="1" t="n">
        <v>46322</v>
      </c>
      <c r="F179" t="inlineStr">
        <is>
          <t>VÄSTERBOTTENS LÄN</t>
        </is>
      </c>
      <c r="G179" t="inlineStr">
        <is>
          <t>VÄNNÄS</t>
        </is>
      </c>
      <c r="I179" t="n">
        <v>1.7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42317-2023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45175</v>
      </c>
      <c r="E180" s="1" t="n">
        <v>46322</v>
      </c>
      <c r="F180" t="inlineStr">
        <is>
          <t>VÄSTERBOTTENS LÄN</t>
        </is>
      </c>
      <c r="G180" t="inlineStr">
        <is>
          <t>VÄNNÄS</t>
        </is>
      </c>
      <c r="I180" t="n">
        <v>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63817-2023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45275</v>
      </c>
      <c r="E181" s="1" t="n">
        <v>46322</v>
      </c>
      <c r="F181" t="inlineStr">
        <is>
          <t>VÄSTERBOTTENS LÄN</t>
        </is>
      </c>
      <c r="G181" t="inlineStr">
        <is>
          <t>VÄNNÄS</t>
        </is>
      </c>
      <c r="I181" t="n">
        <v>6.7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39220-2024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45549</v>
      </c>
      <c r="E182" s="1" t="n">
        <v>46322</v>
      </c>
      <c r="F182" t="inlineStr">
        <is>
          <t>VÄSTERBOTTENS LÄN</t>
        </is>
      </c>
      <c r="G182" t="inlineStr">
        <is>
          <t>VÄNNÄS</t>
        </is>
      </c>
      <c r="I182" t="n">
        <v>0.4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15674-2025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45748</v>
      </c>
      <c r="E183" s="1" t="n">
        <v>46322</v>
      </c>
      <c r="F183" t="inlineStr">
        <is>
          <t>VÄSTERBOTTENS LÄN</t>
        </is>
      </c>
      <c r="G183" t="inlineStr">
        <is>
          <t>VÄNNÄS</t>
        </is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4109-2026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46044</v>
      </c>
      <c r="E184" s="1" t="n">
        <v>46322</v>
      </c>
      <c r="F184" t="inlineStr">
        <is>
          <t>VÄSTERBOTTENS LÄN</t>
        </is>
      </c>
      <c r="G184" t="inlineStr">
        <is>
          <t>VÄNNÄS</t>
        </is>
      </c>
      <c r="I184" t="n">
        <v>5.3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33038-2026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46245</v>
      </c>
      <c r="E185" s="1" t="n">
        <v>46322</v>
      </c>
      <c r="F185" t="inlineStr">
        <is>
          <t>VÄSTERBOTTENS LÄN</t>
        </is>
      </c>
      <c r="G185" t="inlineStr">
        <is>
          <t>VÄNNÄS</t>
        </is>
      </c>
      <c r="I185" t="n">
        <v>5.5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29485-2023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45106</v>
      </c>
      <c r="E186" s="1" t="n">
        <v>46322</v>
      </c>
      <c r="F186" t="inlineStr">
        <is>
          <t>VÄSTERBOTTENS LÄN</t>
        </is>
      </c>
      <c r="G186" t="inlineStr">
        <is>
          <t>VÄNNÄS</t>
        </is>
      </c>
      <c r="I186" t="n">
        <v>5.5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24805-2025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45799</v>
      </c>
      <c r="E187" s="1" t="n">
        <v>46322</v>
      </c>
      <c r="F187" t="inlineStr">
        <is>
          <t>VÄSTERBOTTENS LÄN</t>
        </is>
      </c>
      <c r="G187" t="inlineStr">
        <is>
          <t>VÄNNÄS</t>
        </is>
      </c>
      <c r="I187" t="n">
        <v>1.4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4676-2023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44953</v>
      </c>
      <c r="E188" s="1" t="n">
        <v>46322</v>
      </c>
      <c r="F188" t="inlineStr">
        <is>
          <t>VÄSTERBOTTENS LÄN</t>
        </is>
      </c>
      <c r="G188" t="inlineStr">
        <is>
          <t>VÄNNÄS</t>
        </is>
      </c>
      <c r="I188" t="n">
        <v>2.3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13762-2025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45737</v>
      </c>
      <c r="E189" s="1" t="n">
        <v>46322</v>
      </c>
      <c r="F189" t="inlineStr">
        <is>
          <t>VÄSTERBOTTENS LÄN</t>
        </is>
      </c>
      <c r="G189" t="inlineStr">
        <is>
          <t>VÄNNÄS</t>
        </is>
      </c>
      <c r="I189" t="n">
        <v>2.6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21597-2026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46149</v>
      </c>
      <c r="E190" s="1" t="n">
        <v>46322</v>
      </c>
      <c r="F190" t="inlineStr">
        <is>
          <t>VÄSTERBOTTENS LÄN</t>
        </is>
      </c>
      <c r="G190" t="inlineStr">
        <is>
          <t>VÄNNÄS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21598-2026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46149</v>
      </c>
      <c r="E191" s="1" t="n">
        <v>46322</v>
      </c>
      <c r="F191" t="inlineStr">
        <is>
          <t>VÄSTERBOTTENS LÄN</t>
        </is>
      </c>
      <c r="G191" t="inlineStr">
        <is>
          <t>VÄNNÄS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21567-2026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46148</v>
      </c>
      <c r="E192" s="1" t="n">
        <v>46322</v>
      </c>
      <c r="F192" t="inlineStr">
        <is>
          <t>VÄSTERBOTTENS LÄN</t>
        </is>
      </c>
      <c r="G192" t="inlineStr">
        <is>
          <t>VÄNNÄS</t>
        </is>
      </c>
      <c r="I192" t="n">
        <v>1.9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21041-2024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45439</v>
      </c>
      <c r="E193" s="1" t="n">
        <v>46322</v>
      </c>
      <c r="F193" t="inlineStr">
        <is>
          <t>VÄSTERBOTTENS LÄN</t>
        </is>
      </c>
      <c r="G193" t="inlineStr">
        <is>
          <t>VÄNNÄS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42990-2025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45909</v>
      </c>
      <c r="E194" s="1" t="n">
        <v>46322</v>
      </c>
      <c r="F194" t="inlineStr">
        <is>
          <t>VÄSTERBOTTENS LÄN</t>
        </is>
      </c>
      <c r="G194" t="inlineStr">
        <is>
          <t>VÄNNÄS</t>
        </is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62553-2021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44501</v>
      </c>
      <c r="E195" s="1" t="n">
        <v>46322</v>
      </c>
      <c r="F195" t="inlineStr">
        <is>
          <t>VÄSTERBOTTENS LÄN</t>
        </is>
      </c>
      <c r="G195" t="inlineStr">
        <is>
          <t>VÄNNÄS</t>
        </is>
      </c>
      <c r="I195" t="n">
        <v>10.2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23019-2026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46161</v>
      </c>
      <c r="E196" s="1" t="n">
        <v>46322</v>
      </c>
      <c r="F196" t="inlineStr">
        <is>
          <t>VÄSTERBOTTENS LÄN</t>
        </is>
      </c>
      <c r="G196" t="inlineStr">
        <is>
          <t>VÄNNÄS</t>
        </is>
      </c>
      <c r="I196" t="n">
        <v>2.7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56258-2024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45624</v>
      </c>
      <c r="E197" s="1" t="n">
        <v>46322</v>
      </c>
      <c r="F197" t="inlineStr">
        <is>
          <t>VÄSTERBOTTENS LÄN</t>
        </is>
      </c>
      <c r="G197" t="inlineStr">
        <is>
          <t>VÄNNÄS</t>
        </is>
      </c>
      <c r="I197" t="n">
        <v>0.6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40382-2026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46294</v>
      </c>
      <c r="E198" s="1" t="n">
        <v>46322</v>
      </c>
      <c r="F198" t="inlineStr">
        <is>
          <t>VÄSTERBOTTENS LÄN</t>
        </is>
      </c>
      <c r="G198" t="inlineStr">
        <is>
          <t>VÄNNÄS</t>
        </is>
      </c>
      <c r="I198" t="n">
        <v>6.3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10761-2026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46078</v>
      </c>
      <c r="E199" s="1" t="n">
        <v>46322</v>
      </c>
      <c r="F199" t="inlineStr">
        <is>
          <t>VÄSTERBOTTENS LÄN</t>
        </is>
      </c>
      <c r="G199" t="inlineStr">
        <is>
          <t>VÄNNÄS</t>
        </is>
      </c>
      <c r="I199" t="n">
        <v>1.2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52531-2024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45609</v>
      </c>
      <c r="E200" s="1" t="n">
        <v>46322</v>
      </c>
      <c r="F200" t="inlineStr">
        <is>
          <t>VÄSTERBOTTENS LÄN</t>
        </is>
      </c>
      <c r="G200" t="inlineStr">
        <is>
          <t>VÄNNÄS</t>
        </is>
      </c>
      <c r="I200" t="n">
        <v>1.2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52533-2024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45609</v>
      </c>
      <c r="E201" s="1" t="n">
        <v>46322</v>
      </c>
      <c r="F201" t="inlineStr">
        <is>
          <t>VÄSTERBOTTENS LÄN</t>
        </is>
      </c>
      <c r="G201" t="inlineStr">
        <is>
          <t>VÄNNÄS</t>
        </is>
      </c>
      <c r="I201" t="n">
        <v>2.9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29573-2023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45098</v>
      </c>
      <c r="E202" s="1" t="n">
        <v>46322</v>
      </c>
      <c r="F202" t="inlineStr">
        <is>
          <t>VÄSTERBOTTENS LÄN</t>
        </is>
      </c>
      <c r="G202" t="inlineStr">
        <is>
          <t>VÄNNÄS</t>
        </is>
      </c>
      <c r="I202" t="n">
        <v>5.3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23208-2026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46162</v>
      </c>
      <c r="E203" s="1" t="n">
        <v>46322</v>
      </c>
      <c r="F203" t="inlineStr">
        <is>
          <t>VÄSTERBOTTENS LÄN</t>
        </is>
      </c>
      <c r="G203" t="inlineStr">
        <is>
          <t>VÄNNÄS</t>
        </is>
      </c>
      <c r="H203" t="inlineStr">
        <is>
          <t>Holmen skog AB</t>
        </is>
      </c>
      <c r="I203" t="n">
        <v>3.1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28347-2022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44747</v>
      </c>
      <c r="E204" s="1" t="n">
        <v>46322</v>
      </c>
      <c r="F204" t="inlineStr">
        <is>
          <t>VÄSTERBOTTENS LÄN</t>
        </is>
      </c>
      <c r="G204" t="inlineStr">
        <is>
          <t>VÄNNÄS</t>
        </is>
      </c>
      <c r="I204" t="n">
        <v>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40322-2026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46294</v>
      </c>
      <c r="E205" s="1" t="n">
        <v>46322</v>
      </c>
      <c r="F205" t="inlineStr">
        <is>
          <t>VÄSTERBOTTENS LÄN</t>
        </is>
      </c>
      <c r="G205" t="inlineStr">
        <is>
          <t>VÄNNÄS</t>
        </is>
      </c>
      <c r="I205" t="n">
        <v>1.5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40372-2026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46294</v>
      </c>
      <c r="E206" s="1" t="n">
        <v>46322</v>
      </c>
      <c r="F206" t="inlineStr">
        <is>
          <t>VÄSTERBOTTENS LÄN</t>
        </is>
      </c>
      <c r="G206" t="inlineStr">
        <is>
          <t>VÄNNÄS</t>
        </is>
      </c>
      <c r="H206" t="inlineStr">
        <is>
          <t>Övriga Aktiebolag</t>
        </is>
      </c>
      <c r="I206" t="n">
        <v>9.5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34204-2026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46253</v>
      </c>
      <c r="E207" s="1" t="n">
        <v>46322</v>
      </c>
      <c r="F207" t="inlineStr">
        <is>
          <t>VÄSTERBOTTENS LÄN</t>
        </is>
      </c>
      <c r="G207" t="inlineStr">
        <is>
          <t>VÄNNÄS</t>
        </is>
      </c>
      <c r="I207" t="n">
        <v>5.3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31839-2024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45509</v>
      </c>
      <c r="E208" s="1" t="n">
        <v>46322</v>
      </c>
      <c r="F208" t="inlineStr">
        <is>
          <t>VÄSTERBOTTENS LÄN</t>
        </is>
      </c>
      <c r="G208" t="inlineStr">
        <is>
          <t>VÄNNÄS</t>
        </is>
      </c>
      <c r="H208" t="inlineStr">
        <is>
          <t>Holmen skog AB</t>
        </is>
      </c>
      <c r="I208" t="n">
        <v>1.4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24474-2026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46170</v>
      </c>
      <c r="E209" s="1" t="n">
        <v>46322</v>
      </c>
      <c r="F209" t="inlineStr">
        <is>
          <t>VÄSTERBOTTENS LÄN</t>
        </is>
      </c>
      <c r="G209" t="inlineStr">
        <is>
          <t>VÄNNÄS</t>
        </is>
      </c>
      <c r="I209" t="n">
        <v>2.2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19734-2025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45771</v>
      </c>
      <c r="E210" s="1" t="n">
        <v>46322</v>
      </c>
      <c r="F210" t="inlineStr">
        <is>
          <t>VÄSTERBOTTENS LÄN</t>
        </is>
      </c>
      <c r="G210" t="inlineStr">
        <is>
          <t>VÄNNÄS</t>
        </is>
      </c>
      <c r="H210" t="inlineStr">
        <is>
          <t>Holmen skog AB</t>
        </is>
      </c>
      <c r="I210" t="n">
        <v>0.8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25124-2026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46175</v>
      </c>
      <c r="E211" s="1" t="n">
        <v>46322</v>
      </c>
      <c r="F211" t="inlineStr">
        <is>
          <t>VÄSTERBOTTENS LÄN</t>
        </is>
      </c>
      <c r="G211" t="inlineStr">
        <is>
          <t>VÄNNÄS</t>
        </is>
      </c>
      <c r="H211" t="inlineStr">
        <is>
          <t>Holmen skog AB</t>
        </is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25112-2026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46175</v>
      </c>
      <c r="E212" s="1" t="n">
        <v>46322</v>
      </c>
      <c r="F212" t="inlineStr">
        <is>
          <t>VÄSTERBOTTENS LÄN</t>
        </is>
      </c>
      <c r="G212" t="inlineStr">
        <is>
          <t>VÄNNÄS</t>
        </is>
      </c>
      <c r="H212" t="inlineStr">
        <is>
          <t>Holmen skog AB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25127-2026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46175</v>
      </c>
      <c r="E213" s="1" t="n">
        <v>46322</v>
      </c>
      <c r="F213" t="inlineStr">
        <is>
          <t>VÄSTERBOTTENS LÄN</t>
        </is>
      </c>
      <c r="G213" t="inlineStr">
        <is>
          <t>VÄNNÄS</t>
        </is>
      </c>
      <c r="H213" t="inlineStr">
        <is>
          <t>Holmen skog AB</t>
        </is>
      </c>
      <c r="I213" t="n">
        <v>1.3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25216-2026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46175</v>
      </c>
      <c r="E214" s="1" t="n">
        <v>46322</v>
      </c>
      <c r="F214" t="inlineStr">
        <is>
          <t>VÄSTERBOTTENS LÄN</t>
        </is>
      </c>
      <c r="G214" t="inlineStr">
        <is>
          <t>VÄNNÄS</t>
        </is>
      </c>
      <c r="H214" t="inlineStr">
        <is>
          <t>Holmen skog AB</t>
        </is>
      </c>
      <c r="I214" t="n">
        <v>4.1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25273-2026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46176</v>
      </c>
      <c r="E215" s="1" t="n">
        <v>46322</v>
      </c>
      <c r="F215" t="inlineStr">
        <is>
          <t>VÄSTERBOTTENS LÄN</t>
        </is>
      </c>
      <c r="G215" t="inlineStr">
        <is>
          <t>VÄNNÄS</t>
        </is>
      </c>
      <c r="I215" t="n">
        <v>2.9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25139-2026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46175</v>
      </c>
      <c r="E216" s="1" t="n">
        <v>46322</v>
      </c>
      <c r="F216" t="inlineStr">
        <is>
          <t>VÄSTERBOTTENS LÄN</t>
        </is>
      </c>
      <c r="G216" t="inlineStr">
        <is>
          <t>VÄNNÄS</t>
        </is>
      </c>
      <c r="H216" t="inlineStr">
        <is>
          <t>Holmen skog AB</t>
        </is>
      </c>
      <c r="I216" t="n">
        <v>2.1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25274-2026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46176</v>
      </c>
      <c r="E217" s="1" t="n">
        <v>46322</v>
      </c>
      <c r="F217" t="inlineStr">
        <is>
          <t>VÄSTERBOTTENS LÄN</t>
        </is>
      </c>
      <c r="G217" t="inlineStr">
        <is>
          <t>VÄNNÄS</t>
        </is>
      </c>
      <c r="I217" t="n">
        <v>5.9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34180-2026</t>
        </is>
      </c>
      <c r="B218" t="inlineStr">
        <is>
          <t>avverkningsanmälan</t>
        </is>
      </c>
      <c r="C218" t="inlineStr">
        <is>
          <t>Avverkning för annat ändamål</t>
        </is>
      </c>
      <c r="D218" s="1" t="n">
        <v>46253</v>
      </c>
      <c r="E218" s="1" t="n">
        <v>46322</v>
      </c>
      <c r="F218" t="inlineStr">
        <is>
          <t>VÄSTERBOTTENS LÄN</t>
        </is>
      </c>
      <c r="G218" t="inlineStr">
        <is>
          <t>VÄNNÄS</t>
        </is>
      </c>
      <c r="I218" t="n">
        <v>2.2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34196-2026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46253</v>
      </c>
      <c r="E219" s="1" t="n">
        <v>46322</v>
      </c>
      <c r="F219" t="inlineStr">
        <is>
          <t>VÄSTERBOTTENS LÄN</t>
        </is>
      </c>
      <c r="G219" t="inlineStr">
        <is>
          <t>VÄNNÄS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10533-2023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44987</v>
      </c>
      <c r="E220" s="1" t="n">
        <v>46322</v>
      </c>
      <c r="F220" t="inlineStr">
        <is>
          <t>VÄSTERBOTTENS LÄN</t>
        </is>
      </c>
      <c r="G220" t="inlineStr">
        <is>
          <t>VÄNNÄS</t>
        </is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55444-2023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45231</v>
      </c>
      <c r="E221" s="1" t="n">
        <v>46322</v>
      </c>
      <c r="F221" t="inlineStr">
        <is>
          <t>VÄSTERBOTTENS LÄN</t>
        </is>
      </c>
      <c r="G221" t="inlineStr">
        <is>
          <t>VÄNNÄS</t>
        </is>
      </c>
      <c r="I221" t="n">
        <v>3.4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31817-2024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45509</v>
      </c>
      <c r="E222" s="1" t="n">
        <v>46322</v>
      </c>
      <c r="F222" t="inlineStr">
        <is>
          <t>VÄSTERBOTTENS LÄN</t>
        </is>
      </c>
      <c r="G222" t="inlineStr">
        <is>
          <t>VÄNNÄS</t>
        </is>
      </c>
      <c r="I222" t="n">
        <v>0.7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34499-2026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46255</v>
      </c>
      <c r="E223" s="1" t="n">
        <v>46322</v>
      </c>
      <c r="F223" t="inlineStr">
        <is>
          <t>VÄSTERBOTTENS LÄN</t>
        </is>
      </c>
      <c r="G223" t="inlineStr">
        <is>
          <t>VÄNNÄS</t>
        </is>
      </c>
      <c r="I223" t="n">
        <v>4.5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31699-2024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45508</v>
      </c>
      <c r="E224" s="1" t="n">
        <v>46322</v>
      </c>
      <c r="F224" t="inlineStr">
        <is>
          <t>VÄSTERBOTTENS LÄN</t>
        </is>
      </c>
      <c r="G224" t="inlineStr">
        <is>
          <t>VÄNNÄS</t>
        </is>
      </c>
      <c r="H224" t="inlineStr">
        <is>
          <t>Holmen skog AB</t>
        </is>
      </c>
      <c r="I224" t="n">
        <v>2.8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63981-2021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44509</v>
      </c>
      <c r="E225" s="1" t="n">
        <v>46322</v>
      </c>
      <c r="F225" t="inlineStr">
        <is>
          <t>VÄSTERBOTTENS LÄN</t>
        </is>
      </c>
      <c r="G225" t="inlineStr">
        <is>
          <t>VÄNNÄS</t>
        </is>
      </c>
      <c r="I225" t="n">
        <v>2.7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35196-2026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46260</v>
      </c>
      <c r="E226" s="1" t="n">
        <v>46322</v>
      </c>
      <c r="F226" t="inlineStr">
        <is>
          <t>VÄSTERBOTTENS LÄN</t>
        </is>
      </c>
      <c r="G226" t="inlineStr">
        <is>
          <t>VÄNNÄS</t>
        </is>
      </c>
      <c r="I226" t="n">
        <v>3.8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29476-2023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45106</v>
      </c>
      <c r="E227" s="1" t="n">
        <v>46322</v>
      </c>
      <c r="F227" t="inlineStr">
        <is>
          <t>VÄSTERBOTTENS LÄN</t>
        </is>
      </c>
      <c r="G227" t="inlineStr">
        <is>
          <t>VÄNNÄS</t>
        </is>
      </c>
      <c r="I227" t="n">
        <v>3.8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31867-2023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45118</v>
      </c>
      <c r="E228" s="1" t="n">
        <v>46322</v>
      </c>
      <c r="F228" t="inlineStr">
        <is>
          <t>VÄSTERBOTTENS LÄN</t>
        </is>
      </c>
      <c r="G228" t="inlineStr">
        <is>
          <t>VÄNNÄS</t>
        </is>
      </c>
      <c r="I228" t="n">
        <v>1.2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31869-2023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45118</v>
      </c>
      <c r="E229" s="1" t="n">
        <v>46322</v>
      </c>
      <c r="F229" t="inlineStr">
        <is>
          <t>VÄSTERBOTTENS LÄN</t>
        </is>
      </c>
      <c r="G229" t="inlineStr">
        <is>
          <t>VÄNNÄS</t>
        </is>
      </c>
      <c r="I229" t="n">
        <v>2.6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9086-2023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44979</v>
      </c>
      <c r="E230" s="1" t="n">
        <v>46322</v>
      </c>
      <c r="F230" t="inlineStr">
        <is>
          <t>VÄSTERBOTTENS LÄN</t>
        </is>
      </c>
      <c r="G230" t="inlineStr">
        <is>
          <t>VÄNNÄS</t>
        </is>
      </c>
      <c r="I230" t="n">
        <v>1.3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22193-2023</t>
        </is>
      </c>
      <c r="B231" t="inlineStr">
        <is>
          <t>avverkningsanmälan</t>
        </is>
      </c>
      <c r="C231" t="inlineStr">
        <is>
          <t>Avverkning för annat ändamål</t>
        </is>
      </c>
      <c r="D231" s="1" t="n">
        <v>45069</v>
      </c>
      <c r="E231" s="1" t="n">
        <v>46322</v>
      </c>
      <c r="F231" t="inlineStr">
        <is>
          <t>VÄSTERBOTTENS LÄN</t>
        </is>
      </c>
      <c r="G231" t="inlineStr">
        <is>
          <t>VÄNNÄS</t>
        </is>
      </c>
      <c r="I231" t="n">
        <v>0.4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42682-2026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46309</v>
      </c>
      <c r="E232" s="1" t="n">
        <v>46322</v>
      </c>
      <c r="F232" t="inlineStr">
        <is>
          <t>VÄSTERBOTTENS LÄN</t>
        </is>
      </c>
      <c r="G232" t="inlineStr">
        <is>
          <t>VÄNNÄS</t>
        </is>
      </c>
      <c r="I232" t="n">
        <v>1.8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10440-2023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44987</v>
      </c>
      <c r="E233" s="1" t="n">
        <v>46322</v>
      </c>
      <c r="F233" t="inlineStr">
        <is>
          <t>VÄSTERBOTTENS LÄN</t>
        </is>
      </c>
      <c r="G233" t="inlineStr">
        <is>
          <t>VÄNNÄS</t>
        </is>
      </c>
      <c r="I233" t="n">
        <v>3.7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36317-2026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46268</v>
      </c>
      <c r="E234" s="1" t="n">
        <v>46322</v>
      </c>
      <c r="F234" t="inlineStr">
        <is>
          <t>VÄSTERBOTTENS LÄN</t>
        </is>
      </c>
      <c r="G234" t="inlineStr">
        <is>
          <t>VÄNNÄS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36081-2026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46267</v>
      </c>
      <c r="E235" s="1" t="n">
        <v>46322</v>
      </c>
      <c r="F235" t="inlineStr">
        <is>
          <t>VÄSTERBOTTENS LÄN</t>
        </is>
      </c>
      <c r="G235" t="inlineStr">
        <is>
          <t>VÄNNÄS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45899-2024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45580</v>
      </c>
      <c r="E236" s="1" t="n">
        <v>46322</v>
      </c>
      <c r="F236" t="inlineStr">
        <is>
          <t>VÄSTERBOTTENS LÄN</t>
        </is>
      </c>
      <c r="G236" t="inlineStr">
        <is>
          <t>VÄNNÄS</t>
        </is>
      </c>
      <c r="H236" t="inlineStr">
        <is>
          <t>Holmen skog AB</t>
        </is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21135-2024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45440</v>
      </c>
      <c r="E237" s="1" t="n">
        <v>46322</v>
      </c>
      <c r="F237" t="inlineStr">
        <is>
          <t>VÄSTERBOTTENS LÄN</t>
        </is>
      </c>
      <c r="G237" t="inlineStr">
        <is>
          <t>VÄNNÄS</t>
        </is>
      </c>
      <c r="H237" t="inlineStr">
        <is>
          <t>Holmen skog AB</t>
        </is>
      </c>
      <c r="I237" t="n">
        <v>3.7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36560-2026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46269</v>
      </c>
      <c r="E238" s="1" t="n">
        <v>46322</v>
      </c>
      <c r="F238" t="inlineStr">
        <is>
          <t>VÄSTERBOTTENS LÄN</t>
        </is>
      </c>
      <c r="G238" t="inlineStr">
        <is>
          <t>VÄNNÄS</t>
        </is>
      </c>
      <c r="H238" t="inlineStr">
        <is>
          <t>Sveaskog</t>
        </is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13758-2024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45390</v>
      </c>
      <c r="E239" s="1" t="n">
        <v>46322</v>
      </c>
      <c r="F239" t="inlineStr">
        <is>
          <t>VÄSTERBOTTENS LÄN</t>
        </is>
      </c>
      <c r="G239" t="inlineStr">
        <is>
          <t>VÄNNÄS</t>
        </is>
      </c>
      <c r="I239" t="n">
        <v>3.4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8938-2025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45713</v>
      </c>
      <c r="E240" s="1" t="n">
        <v>46322</v>
      </c>
      <c r="F240" t="inlineStr">
        <is>
          <t>VÄSTERBOTTENS LÄN</t>
        </is>
      </c>
      <c r="G240" t="inlineStr">
        <is>
          <t>VÄNNÄS</t>
        </is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43520-2026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46315</v>
      </c>
      <c r="E241" s="1" t="n">
        <v>46322</v>
      </c>
      <c r="F241" t="inlineStr">
        <is>
          <t>VÄSTERBOTTENS LÄN</t>
        </is>
      </c>
      <c r="G241" t="inlineStr">
        <is>
          <t>VÄNNÄS</t>
        </is>
      </c>
      <c r="I241" t="n">
        <v>1.1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43504-2026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46315</v>
      </c>
      <c r="E242" s="1" t="n">
        <v>46322</v>
      </c>
      <c r="F242" t="inlineStr">
        <is>
          <t>VÄSTERBOTTENS LÄN</t>
        </is>
      </c>
      <c r="G242" t="inlineStr">
        <is>
          <t>VÄNNÄS</t>
        </is>
      </c>
      <c r="I242" t="n">
        <v>2.5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43512-2026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46315</v>
      </c>
      <c r="E243" s="1" t="n">
        <v>46322</v>
      </c>
      <c r="F243" t="inlineStr">
        <is>
          <t>VÄSTERBOTTENS LÄN</t>
        </is>
      </c>
      <c r="G243" t="inlineStr">
        <is>
          <t>VÄNNÄS</t>
        </is>
      </c>
      <c r="I243" t="n">
        <v>3.6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37118-2026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46274</v>
      </c>
      <c r="E244" s="1" t="n">
        <v>46322</v>
      </c>
      <c r="F244" t="inlineStr">
        <is>
          <t>VÄSTERBOTTENS LÄN</t>
        </is>
      </c>
      <c r="G244" t="inlineStr">
        <is>
          <t>VÄNNÄS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36936-2026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46273</v>
      </c>
      <c r="E245" s="1" t="n">
        <v>46322</v>
      </c>
      <c r="F245" t="inlineStr">
        <is>
          <t>VÄSTERBOTTENS LÄN</t>
        </is>
      </c>
      <c r="G245" t="inlineStr">
        <is>
          <t>VÄNNÄS</t>
        </is>
      </c>
      <c r="I245" t="n">
        <v>7.9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37123-2026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46274</v>
      </c>
      <c r="E246" s="1" t="n">
        <v>46322</v>
      </c>
      <c r="F246" t="inlineStr">
        <is>
          <t>VÄSTERBOTTENS LÄN</t>
        </is>
      </c>
      <c r="G246" t="inlineStr">
        <is>
          <t>VÄNNÄS</t>
        </is>
      </c>
      <c r="I246" t="n">
        <v>2.6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36921-2026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46273</v>
      </c>
      <c r="E247" s="1" t="n">
        <v>46322</v>
      </c>
      <c r="F247" t="inlineStr">
        <is>
          <t>VÄSTERBOTTENS LÄN</t>
        </is>
      </c>
      <c r="G247" t="inlineStr">
        <is>
          <t>VÄNNÄS</t>
        </is>
      </c>
      <c r="I247" t="n">
        <v>2.9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44417-2026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46321</v>
      </c>
      <c r="E248" s="1" t="n">
        <v>46322</v>
      </c>
      <c r="F248" t="inlineStr">
        <is>
          <t>VÄSTERBOTTENS LÄN</t>
        </is>
      </c>
      <c r="G248" t="inlineStr">
        <is>
          <t>VÄNNÄS</t>
        </is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44418-2026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46321</v>
      </c>
      <c r="E249" s="1" t="n">
        <v>46322</v>
      </c>
      <c r="F249" t="inlineStr">
        <is>
          <t>VÄSTERBOTTENS LÄN</t>
        </is>
      </c>
      <c r="G249" t="inlineStr">
        <is>
          <t>VÄNNÄS</t>
        </is>
      </c>
      <c r="I249" t="n">
        <v>1.2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S 4180-2023</t>
        </is>
      </c>
      <c r="B250" t="inlineStr">
        <is>
          <t>samrådsanmälan</t>
        </is>
      </c>
      <c r="C250" t="inlineStr">
        <is>
          <t>Skogsgödsling</t>
        </is>
      </c>
      <c r="D250" s="1" t="n">
        <v>45250</v>
      </c>
      <c r="E250" s="1" t="n">
        <v>46322</v>
      </c>
      <c r="F250" t="inlineStr">
        <is>
          <t>VÄSTERBOTTENS LÄN</t>
        </is>
      </c>
      <c r="G250" t="inlineStr">
        <is>
          <t>VÄNNÄS</t>
        </is>
      </c>
      <c r="H250" t="inlineStr">
        <is>
          <t>Holmen skog AB</t>
        </is>
      </c>
      <c r="I250" t="n">
        <v>31.7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S 25-2022</t>
        </is>
      </c>
      <c r="B251" t="inlineStr">
        <is>
          <t>samrådsanmälan</t>
        </is>
      </c>
      <c r="C251" t="inlineStr">
        <is>
          <t>Skogsgödsling</t>
        </is>
      </c>
      <c r="D251" s="1" t="n">
        <v>44559</v>
      </c>
      <c r="E251" s="1" t="n">
        <v>46322</v>
      </c>
      <c r="F251" t="inlineStr">
        <is>
          <t>VÄSTERBOTTENS LÄN</t>
        </is>
      </c>
      <c r="G251" t="inlineStr">
        <is>
          <t>VÄNNÄS</t>
        </is>
      </c>
      <c r="H251" t="inlineStr">
        <is>
          <t>Holmen skog AB</t>
        </is>
      </c>
      <c r="I251" t="n">
        <v>60.7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S 1611-2022</t>
        </is>
      </c>
      <c r="B252" t="inlineStr">
        <is>
          <t>samrådsanmälan</t>
        </is>
      </c>
      <c r="C252" t="inlineStr">
        <is>
          <t>Skogsgödsling</t>
        </is>
      </c>
      <c r="D252" s="1" t="n">
        <v>44645</v>
      </c>
      <c r="E252" s="1" t="n">
        <v>46322</v>
      </c>
      <c r="F252" t="inlineStr">
        <is>
          <t>VÄSTERBOTTENS LÄN</t>
        </is>
      </c>
      <c r="G252" t="inlineStr">
        <is>
          <t>VÄNNÄS</t>
        </is>
      </c>
      <c r="I252" t="n">
        <v>15.8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S 1362-2025</t>
        </is>
      </c>
      <c r="B253" t="inlineStr">
        <is>
          <t>samrådsanmälan</t>
        </is>
      </c>
      <c r="C253" t="inlineStr">
        <is>
          <t>Skogsgödsling</t>
        </is>
      </c>
      <c r="D253" s="1" t="n">
        <v>45775</v>
      </c>
      <c r="E253" s="1" t="n">
        <v>46322</v>
      </c>
      <c r="F253" t="inlineStr">
        <is>
          <t>VÄSTERBOTTENS LÄN</t>
        </is>
      </c>
      <c r="G253" t="inlineStr">
        <is>
          <t>VÄNNÄS</t>
        </is>
      </c>
      <c r="I253" t="n">
        <v>63.6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S 2703-2025</t>
        </is>
      </c>
      <c r="B254" t="inlineStr">
        <is>
          <t>samrådsanmälan</t>
        </is>
      </c>
      <c r="C254" t="inlineStr">
        <is>
          <t>Skogsgödsling</t>
        </is>
      </c>
      <c r="D254" s="1" t="n">
        <v>45929</v>
      </c>
      <c r="E254" s="1" t="n">
        <v>46322</v>
      </c>
      <c r="F254" t="inlineStr">
        <is>
          <t>VÄSTERBOTTENS LÄN</t>
        </is>
      </c>
      <c r="G254" t="inlineStr">
        <is>
          <t>VÄNNÄS</t>
        </is>
      </c>
      <c r="I254" t="n">
        <v>61.2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S 425-2026</t>
        </is>
      </c>
      <c r="B255" t="inlineStr">
        <is>
          <t>samrådsanmälan</t>
        </is>
      </c>
      <c r="C255" t="inlineStr">
        <is>
          <t>Skogsgödsling</t>
        </is>
      </c>
      <c r="D255" s="1" t="n">
        <v>46070</v>
      </c>
      <c r="E255" s="1" t="n">
        <v>46322</v>
      </c>
      <c r="F255" t="inlineStr">
        <is>
          <t>VÄSTERBOTTENS LÄN</t>
        </is>
      </c>
      <c r="G255" t="inlineStr">
        <is>
          <t>VÄNNÄS</t>
        </is>
      </c>
      <c r="H255" t="inlineStr">
        <is>
          <t>Holmen skog AB</t>
        </is>
      </c>
      <c r="I255" t="n">
        <v>17.3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S 470-2026</t>
        </is>
      </c>
      <c r="B256" t="inlineStr">
        <is>
          <t>samrådsanmälan</t>
        </is>
      </c>
      <c r="C256" t="inlineStr">
        <is>
          <t>Skogsgödsling</t>
        </is>
      </c>
      <c r="D256" s="1" t="n">
        <v>46073</v>
      </c>
      <c r="E256" s="1" t="n">
        <v>46322</v>
      </c>
      <c r="F256" t="inlineStr">
        <is>
          <t>VÄSTERBOTTENS LÄN</t>
        </is>
      </c>
      <c r="G256" t="inlineStr">
        <is>
          <t>VÄNNÄS</t>
        </is>
      </c>
      <c r="I256" t="n">
        <v>31.7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>
      <c r="A257" t="inlineStr">
        <is>
          <t>S 964-2026</t>
        </is>
      </c>
      <c r="B257" t="inlineStr">
        <is>
          <t>samrådsanmälan</t>
        </is>
      </c>
      <c r="C257" t="inlineStr">
        <is>
          <t>Annan skogsbruksåtgärd</t>
        </is>
      </c>
      <c r="D257" s="1" t="n">
        <v>46114</v>
      </c>
      <c r="E257" s="1" t="n">
        <v>46322</v>
      </c>
      <c r="F257" t="inlineStr">
        <is>
          <t>VÄSTERBOTTENS LÄN</t>
        </is>
      </c>
      <c r="G257" t="inlineStr">
        <is>
          <t>VÄNNÄS</t>
        </is>
      </c>
      <c r="H257" t="inlineStr">
        <is>
          <t>Kommuner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2026-10-27T03:13:36Z</dcterms:created>
  <dcterms:modified xmlns:dcterms="http://purl.org/dc/terms/" xmlns:xsi="http://www.w3.org/2001/XMLSchema-instance" xsi:type="dcterms:W3CDTF">2026-10-27T03:13:36Z</dcterms:modified>
</cp:coreProperties>
</file>