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45842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45842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45842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45842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45842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45842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45842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45842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45842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47089-2022</t>
        </is>
      </c>
      <c r="B16" s="1" t="n">
        <v>44852</v>
      </c>
      <c r="C16" s="1" t="n">
        <v>45842</v>
      </c>
      <c r="D16" t="inlineStr">
        <is>
          <t>VÄSTERBOTTENS LÄN</t>
        </is>
      </c>
      <c r="E16" t="inlineStr">
        <is>
          <t>VÄNNÄS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Lappuggla</t>
        </is>
      </c>
      <c r="S16">
        <f>HYPERLINK("https://klasma.github.io/Logging_2460/artfynd/A 47089-2022 artfynd.xlsx", "A 47089-2022")</f>
        <v/>
      </c>
      <c r="T16">
        <f>HYPERLINK("https://klasma.github.io/Logging_2460/kartor/A 47089-2022 karta.png", "A 47089-2022")</f>
        <v/>
      </c>
      <c r="V16">
        <f>HYPERLINK("https://klasma.github.io/Logging_2460/klagomål/A 47089-2022 FSC-klagomål.docx", "A 47089-2022")</f>
        <v/>
      </c>
      <c r="W16">
        <f>HYPERLINK("https://klasma.github.io/Logging_2460/klagomålsmail/A 47089-2022 FSC-klagomål mail.docx", "A 47089-2022")</f>
        <v/>
      </c>
      <c r="X16">
        <f>HYPERLINK("https://klasma.github.io/Logging_2460/tillsyn/A 47089-2022 tillsynsbegäran.docx", "A 47089-2022")</f>
        <v/>
      </c>
      <c r="Y16">
        <f>HYPERLINK("https://klasma.github.io/Logging_2460/tillsynsmail/A 47089-2022 tillsynsbegäran mail.docx", "A 47089-2022")</f>
        <v/>
      </c>
      <c r="Z16">
        <f>HYPERLINK("https://klasma.github.io/Logging_2460/fåglar/A 47089-2022 prioriterade fågelarter.docx", "A 47089-2022")</f>
        <v/>
      </c>
    </row>
    <row r="17" ht="15" customHeight="1">
      <c r="A17" t="inlineStr">
        <is>
          <t>A 59480-2022</t>
        </is>
      </c>
      <c r="B17" s="1" t="n">
        <v>44907</v>
      </c>
      <c r="C17" s="1" t="n">
        <v>45842</v>
      </c>
      <c r="D17" t="inlineStr">
        <is>
          <t>VÄSTERBOTTENS LÄN</t>
        </is>
      </c>
      <c r="E17" t="inlineStr">
        <is>
          <t>VÄNNÄS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HYPERLINK("https://klasma.github.io/Logging_2460/artfynd/A 59480-2022 artfynd.xlsx", "A 59480-2022")</f>
        <v/>
      </c>
      <c r="T17">
        <f>HYPERLINK("https://klasma.github.io/Logging_2460/kartor/A 59480-2022 karta.png", "A 59480-2022")</f>
        <v/>
      </c>
      <c r="V17">
        <f>HYPERLINK("https://klasma.github.io/Logging_2460/klagomål/A 59480-2022 FSC-klagomål.docx", "A 59480-2022")</f>
        <v/>
      </c>
      <c r="W17">
        <f>HYPERLINK("https://klasma.github.io/Logging_2460/klagomålsmail/A 59480-2022 FSC-klagomål mail.docx", "A 59480-2022")</f>
        <v/>
      </c>
      <c r="X17">
        <f>HYPERLINK("https://klasma.github.io/Logging_2460/tillsyn/A 59480-2022 tillsynsbegäran.docx", "A 59480-2022")</f>
        <v/>
      </c>
      <c r="Y17">
        <f>HYPERLINK("https://klasma.github.io/Logging_2460/tillsynsmail/A 59480-2022 tillsynsbegäran mail.docx", "A 59480-2022")</f>
        <v/>
      </c>
    </row>
    <row r="18" ht="15" customHeight="1">
      <c r="A18" t="inlineStr">
        <is>
          <t>A 61508-2022</t>
        </is>
      </c>
      <c r="B18" s="1" t="n">
        <v>44916</v>
      </c>
      <c r="C18" s="1" t="n">
        <v>45842</v>
      </c>
      <c r="D18" t="inlineStr">
        <is>
          <t>VÄSTERBOTTENS LÄN</t>
        </is>
      </c>
      <c r="E18" t="inlineStr">
        <is>
          <t>VÄNNÄS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Lundsångare</t>
        </is>
      </c>
      <c r="S18">
        <f>HYPERLINK("https://klasma.github.io/Logging_2460/artfynd/A 61508-2022 artfynd.xlsx", "A 61508-2022")</f>
        <v/>
      </c>
      <c r="T18">
        <f>HYPERLINK("https://klasma.github.io/Logging_2460/kartor/A 61508-2022 karta.png", "A 61508-2022")</f>
        <v/>
      </c>
      <c r="V18">
        <f>HYPERLINK("https://klasma.github.io/Logging_2460/klagomål/A 61508-2022 FSC-klagomål.docx", "A 61508-2022")</f>
        <v/>
      </c>
      <c r="W18">
        <f>HYPERLINK("https://klasma.github.io/Logging_2460/klagomålsmail/A 61508-2022 FSC-klagomål mail.docx", "A 61508-2022")</f>
        <v/>
      </c>
      <c r="X18">
        <f>HYPERLINK("https://klasma.github.io/Logging_2460/tillsyn/A 61508-2022 tillsynsbegäran.docx", "A 61508-2022")</f>
        <v/>
      </c>
      <c r="Y18">
        <f>HYPERLINK("https://klasma.github.io/Logging_2460/tillsynsmail/A 61508-2022 tillsynsbegäran mail.docx", "A 61508-2022")</f>
        <v/>
      </c>
      <c r="Z18">
        <f>HYPERLINK("https://klasma.github.io/Logging_2460/fåglar/A 61508-2022 prioriterade fågelarter.docx", "A 61508-2022")</f>
        <v/>
      </c>
    </row>
    <row r="19" ht="15" customHeight="1">
      <c r="A19" t="inlineStr">
        <is>
          <t>A 15734-2023</t>
        </is>
      </c>
      <c r="B19" s="1" t="n">
        <v>45021</v>
      </c>
      <c r="C19" s="1" t="n">
        <v>45842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HYPERLINK("https://klasma.github.io/Logging_2460/artfynd/A 15734-2023 artfynd.xlsx", "A 15734-2023")</f>
        <v/>
      </c>
      <c r="T19">
        <f>HYPERLINK("https://klasma.github.io/Logging_2460/kartor/A 15734-2023 karta.png", "A 15734-2023")</f>
        <v/>
      </c>
      <c r="V19">
        <f>HYPERLINK("https://klasma.github.io/Logging_2460/klagomål/A 15734-2023 FSC-klagomål.docx", "A 15734-2023")</f>
        <v/>
      </c>
      <c r="W19">
        <f>HYPERLINK("https://klasma.github.io/Logging_2460/klagomålsmail/A 15734-2023 FSC-klagomål mail.docx", "A 15734-2023")</f>
        <v/>
      </c>
      <c r="X19">
        <f>HYPERLINK("https://klasma.github.io/Logging_2460/tillsyn/A 15734-2023 tillsynsbegäran.docx", "A 15734-2023")</f>
        <v/>
      </c>
      <c r="Y19">
        <f>HYPERLINK("https://klasma.github.io/Logging_2460/tillsynsmail/A 15734-2023 tillsynsbegäran mail.docx", "A 15734-2023")</f>
        <v/>
      </c>
    </row>
    <row r="20" ht="15" customHeight="1">
      <c r="A20" t="inlineStr">
        <is>
          <t>A 26322-2023</t>
        </is>
      </c>
      <c r="B20" s="1" t="n">
        <v>45086</v>
      </c>
      <c r="C20" s="1" t="n">
        <v>45842</v>
      </c>
      <c r="D20" t="inlineStr">
        <is>
          <t>VÄSTERBOTTENS LÄN</t>
        </is>
      </c>
      <c r="E20" t="inlineStr">
        <is>
          <t>VÄNNÄS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HYPERLINK("https://klasma.github.io/Logging_2460/artfynd/A 26322-2023 artfynd.xlsx", "A 26322-2023")</f>
        <v/>
      </c>
      <c r="T20">
        <f>HYPERLINK("https://klasma.github.io/Logging_2460/kartor/A 26322-2023 karta.png", "A 26322-2023")</f>
        <v/>
      </c>
      <c r="V20">
        <f>HYPERLINK("https://klasma.github.io/Logging_2460/klagomål/A 26322-2023 FSC-klagomål.docx", "A 26322-2023")</f>
        <v/>
      </c>
      <c r="W20">
        <f>HYPERLINK("https://klasma.github.io/Logging_2460/klagomålsmail/A 26322-2023 FSC-klagomål mail.docx", "A 26322-2023")</f>
        <v/>
      </c>
      <c r="X20">
        <f>HYPERLINK("https://klasma.github.io/Logging_2460/tillsyn/A 26322-2023 tillsynsbegäran.docx", "A 26322-2023")</f>
        <v/>
      </c>
      <c r="Y20">
        <f>HYPERLINK("https://klasma.github.io/Logging_2460/tillsynsmail/A 26322-2023 tillsynsbegäran mail.docx", "A 26322-2023")</f>
        <v/>
      </c>
      <c r="Z20">
        <f>HYPERLINK("https://klasma.github.io/Logging_2460/fåglar/A 26322-2023 prioriterade fågelarter.docx", "A 26322-2023")</f>
        <v/>
      </c>
    </row>
    <row r="21" ht="15" customHeight="1">
      <c r="A21" t="inlineStr">
        <is>
          <t>A 8899-2024</t>
        </is>
      </c>
      <c r="B21" s="1" t="n">
        <v>45355</v>
      </c>
      <c r="C21" s="1" t="n">
        <v>45842</v>
      </c>
      <c r="D21" t="inlineStr">
        <is>
          <t>VÄSTERBOTTENS LÄN</t>
        </is>
      </c>
      <c r="E21" t="inlineStr">
        <is>
          <t>VÄNNÄS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HYPERLINK("https://klasma.github.io/Logging_2460/artfynd/A 8899-2024 artfynd.xlsx", "A 8899-2024")</f>
        <v/>
      </c>
      <c r="T21">
        <f>HYPERLINK("https://klasma.github.io/Logging_2460/kartor/A 8899-2024 karta.png", "A 8899-2024")</f>
        <v/>
      </c>
      <c r="V21">
        <f>HYPERLINK("https://klasma.github.io/Logging_2460/klagomål/A 8899-2024 FSC-klagomål.docx", "A 8899-2024")</f>
        <v/>
      </c>
      <c r="W21">
        <f>HYPERLINK("https://klasma.github.io/Logging_2460/klagomålsmail/A 8899-2024 FSC-klagomål mail.docx", "A 8899-2024")</f>
        <v/>
      </c>
      <c r="X21">
        <f>HYPERLINK("https://klasma.github.io/Logging_2460/tillsyn/A 8899-2024 tillsynsbegäran.docx", "A 8899-2024")</f>
        <v/>
      </c>
      <c r="Y21">
        <f>HYPERLINK("https://klasma.github.io/Logging_2460/tillsynsmail/A 8899-2024 tillsynsbegäran mail.docx", "A 8899-2024")</f>
        <v/>
      </c>
      <c r="Z21">
        <f>HYPERLINK("https://klasma.github.io/Logging_2460/fåglar/A 8899-2024 prioriterade fågelarter.docx", "A 8899-2024")</f>
        <v/>
      </c>
    </row>
    <row r="22" ht="15" customHeight="1">
      <c r="A22" t="inlineStr">
        <is>
          <t>A 18591-2019</t>
        </is>
      </c>
      <c r="B22" s="1" t="n">
        <v>43560</v>
      </c>
      <c r="C22" s="1" t="n">
        <v>45842</v>
      </c>
      <c r="D22" t="inlineStr">
        <is>
          <t>VÄSTERBOTTENS LÄN</t>
        </is>
      </c>
      <c r="E22" t="inlineStr">
        <is>
          <t>VÄNNÄS</t>
        </is>
      </c>
      <c r="F22" t="inlineStr">
        <is>
          <t>Övriga Aktiebolag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20714-2019</t>
        </is>
      </c>
      <c r="B23" s="1" t="n">
        <v>43573</v>
      </c>
      <c r="C23" s="1" t="n">
        <v>45842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22156-2019</t>
        </is>
      </c>
      <c r="B24" s="1" t="n">
        <v>43585</v>
      </c>
      <c r="C24" s="1" t="n">
        <v>45842</v>
      </c>
      <c r="D24" t="inlineStr">
        <is>
          <t>VÄSTERBOTTENS LÄN</t>
        </is>
      </c>
      <c r="E24" t="inlineStr">
        <is>
          <t>VÄNNÄS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23226-2019</t>
        </is>
      </c>
      <c r="B25" s="1" t="n">
        <v>43592</v>
      </c>
      <c r="C25" s="1" t="n">
        <v>45842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24386-2019</t>
        </is>
      </c>
      <c r="B26" s="1" t="n">
        <v>43599</v>
      </c>
      <c r="C26" s="1" t="n">
        <v>45842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25290-2019</t>
        </is>
      </c>
      <c r="B27" s="1" t="n">
        <v>43605</v>
      </c>
      <c r="C27" s="1" t="n">
        <v>45842</v>
      </c>
      <c r="D27" t="inlineStr">
        <is>
          <t>VÄSTERBOTTENS LÄN</t>
        </is>
      </c>
      <c r="E27" t="inlineStr">
        <is>
          <t>VÄNNÄS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31471-2019</t>
        </is>
      </c>
      <c r="B28" s="1" t="n">
        <v>43640</v>
      </c>
      <c r="C28" s="1" t="n">
        <v>45842</v>
      </c>
      <c r="D28" t="inlineStr">
        <is>
          <t>VÄSTERBOTTENS LÄN</t>
        </is>
      </c>
      <c r="E28" t="inlineStr">
        <is>
          <t>VÄNNÄS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32439-2019</t>
        </is>
      </c>
      <c r="B29" s="1" t="n">
        <v>43644</v>
      </c>
      <c r="C29" s="1" t="n">
        <v>45842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33467-2019</t>
        </is>
      </c>
      <c r="B30" s="1" t="n">
        <v>43650</v>
      </c>
      <c r="C30" s="1" t="n">
        <v>45842</v>
      </c>
      <c r="D30" t="inlineStr">
        <is>
          <t>VÄSTERBOTTENS LÄN</t>
        </is>
      </c>
      <c r="E30" t="inlineStr">
        <is>
          <t>VÄNNÄS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34666-2019</t>
        </is>
      </c>
      <c r="B31" s="1" t="n">
        <v>43657</v>
      </c>
      <c r="C31" s="1" t="n">
        <v>45842</v>
      </c>
      <c r="D31" t="inlineStr">
        <is>
          <t>VÄSTERBOTTENS LÄN</t>
        </is>
      </c>
      <c r="E31" t="inlineStr">
        <is>
          <t>VÄNNÄS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39719-2019</t>
        </is>
      </c>
      <c r="B32" s="1" t="n">
        <v>43689</v>
      </c>
      <c r="C32" s="1" t="n">
        <v>45842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44508-2019</t>
        </is>
      </c>
      <c r="B33" s="1" t="n">
        <v>43711</v>
      </c>
      <c r="C33" s="1" t="n">
        <v>45842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49293-2019</t>
        </is>
      </c>
      <c r="B34" s="1" t="n">
        <v>43731</v>
      </c>
      <c r="C34" s="1" t="n">
        <v>45842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54355-2019</t>
        </is>
      </c>
      <c r="B35" s="1" t="n">
        <v>43746</v>
      </c>
      <c r="C35" s="1" t="n">
        <v>45842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60602-2019</t>
        </is>
      </c>
      <c r="B36" s="1" t="n">
        <v>43781</v>
      </c>
      <c r="C36" s="1" t="n">
        <v>45842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60939-2019</t>
        </is>
      </c>
      <c r="B37" s="1" t="n">
        <v>43782</v>
      </c>
      <c r="C37" s="1" t="n">
        <v>45842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62216-2019</t>
        </is>
      </c>
      <c r="B38" s="1" t="n">
        <v>43782</v>
      </c>
      <c r="C38" s="1" t="n">
        <v>45842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63040-2019</t>
        </is>
      </c>
      <c r="B39" s="1" t="n">
        <v>43787</v>
      </c>
      <c r="C39" s="1" t="n">
        <v>45842</v>
      </c>
      <c r="D39" t="inlineStr">
        <is>
          <t>VÄSTERBOTTENS LÄN</t>
        </is>
      </c>
      <c r="E39" t="inlineStr">
        <is>
          <t>VÄNNÄS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64708-2019</t>
        </is>
      </c>
      <c r="B40" s="1" t="n">
        <v>43798</v>
      </c>
      <c r="C40" s="1" t="n">
        <v>45842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64706-2019</t>
        </is>
      </c>
      <c r="B41" s="1" t="n">
        <v>43798</v>
      </c>
      <c r="C41" s="1" t="n">
        <v>45842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66182-2019</t>
        </is>
      </c>
      <c r="B42" s="1" t="n">
        <v>43801</v>
      </c>
      <c r="C42" s="1" t="n">
        <v>45842</v>
      </c>
      <c r="D42" t="inlineStr">
        <is>
          <t>VÄSTERBOTTENS LÄN</t>
        </is>
      </c>
      <c r="E42" t="inlineStr">
        <is>
          <t>VÄNNÄS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65463-2019</t>
        </is>
      </c>
      <c r="B43" s="1" t="n">
        <v>43803</v>
      </c>
      <c r="C43" s="1" t="n">
        <v>45842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67913-2019</t>
        </is>
      </c>
      <c r="B44" s="1" t="n">
        <v>43811</v>
      </c>
      <c r="C44" s="1" t="n">
        <v>45842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68320-2019</t>
        </is>
      </c>
      <c r="B45" s="1" t="n">
        <v>43811</v>
      </c>
      <c r="C45" s="1" t="n">
        <v>45842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67961-2019</t>
        </is>
      </c>
      <c r="B46" s="1" t="n">
        <v>43811</v>
      </c>
      <c r="C46" s="1" t="n">
        <v>45842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433-2020</t>
        </is>
      </c>
      <c r="B47" s="1" t="n">
        <v>43816</v>
      </c>
      <c r="C47" s="1" t="n">
        <v>45842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2001-2020</t>
        </is>
      </c>
      <c r="B48" s="1" t="n">
        <v>43845</v>
      </c>
      <c r="C48" s="1" t="n">
        <v>45842</v>
      </c>
      <c r="D48" t="inlineStr">
        <is>
          <t>VÄSTERBOTTENS LÄN</t>
        </is>
      </c>
      <c r="E48" t="inlineStr">
        <is>
          <t>VÄNNÄS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4305-2020</t>
        </is>
      </c>
      <c r="B49" s="1" t="n">
        <v>43857</v>
      </c>
      <c r="C49" s="1" t="n">
        <v>45842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7029-2020</t>
        </is>
      </c>
      <c r="B50" s="1" t="n">
        <v>43868</v>
      </c>
      <c r="C50" s="1" t="n">
        <v>45842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7016-2020</t>
        </is>
      </c>
      <c r="B51" s="1" t="n">
        <v>43868</v>
      </c>
      <c r="C51" s="1" t="n">
        <v>45842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7533-2020</t>
        </is>
      </c>
      <c r="B52" s="1" t="n">
        <v>43872</v>
      </c>
      <c r="C52" s="1" t="n">
        <v>45842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11928-2020</t>
        </is>
      </c>
      <c r="B53" s="1" t="n">
        <v>43888</v>
      </c>
      <c r="C53" s="1" t="n">
        <v>45842</v>
      </c>
      <c r="D53" t="inlineStr">
        <is>
          <t>VÄSTERBOTTENS LÄN</t>
        </is>
      </c>
      <c r="E53" t="inlineStr">
        <is>
          <t>VÄNNÄS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16678-2020</t>
        </is>
      </c>
      <c r="B54" s="1" t="n">
        <v>43910</v>
      </c>
      <c r="C54" s="1" t="n">
        <v>45842</v>
      </c>
      <c r="D54" t="inlineStr">
        <is>
          <t>VÄSTERBOTTENS LÄN</t>
        </is>
      </c>
      <c r="E54" t="inlineStr">
        <is>
          <t>VÄNNÄS</t>
        </is>
      </c>
      <c r="G54" t="n">
        <v>18.8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15087-2020</t>
        </is>
      </c>
      <c r="B55" s="1" t="n">
        <v>43910</v>
      </c>
      <c r="C55" s="1" t="n">
        <v>45842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19693-2020</t>
        </is>
      </c>
      <c r="B56" s="1" t="n">
        <v>43941</v>
      </c>
      <c r="C56" s="1" t="n">
        <v>45842</v>
      </c>
      <c r="D56" t="inlineStr">
        <is>
          <t>VÄSTERBOTTENS LÄN</t>
        </is>
      </c>
      <c r="E56" t="inlineStr">
        <is>
          <t>VÄNNÄS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27111-2020</t>
        </is>
      </c>
      <c r="B57" s="1" t="n">
        <v>43990</v>
      </c>
      <c r="C57" s="1" t="n">
        <v>45842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30144-2020</t>
        </is>
      </c>
      <c r="B58" s="1" t="n">
        <v>44006</v>
      </c>
      <c r="C58" s="1" t="n">
        <v>45842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30340-2020</t>
        </is>
      </c>
      <c r="B59" s="1" t="n">
        <v>44007</v>
      </c>
      <c r="C59" s="1" t="n">
        <v>45842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30425-2020</t>
        </is>
      </c>
      <c r="B60" s="1" t="n">
        <v>44007</v>
      </c>
      <c r="C60" s="1" t="n">
        <v>45842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30553-2020</t>
        </is>
      </c>
      <c r="B61" s="1" t="n">
        <v>44008</v>
      </c>
      <c r="C61" s="1" t="n">
        <v>45842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31255-2020</t>
        </is>
      </c>
      <c r="B62" s="1" t="n">
        <v>44012</v>
      </c>
      <c r="C62" s="1" t="n">
        <v>45842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31895-2020</t>
        </is>
      </c>
      <c r="B63" s="1" t="n">
        <v>44014</v>
      </c>
      <c r="C63" s="1" t="n">
        <v>45842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32329-2020</t>
        </is>
      </c>
      <c r="B64" s="1" t="n">
        <v>44016</v>
      </c>
      <c r="C64" s="1" t="n">
        <v>45842</v>
      </c>
      <c r="D64" t="inlineStr">
        <is>
          <t>VÄSTERBOTTENS LÄN</t>
        </is>
      </c>
      <c r="E64" t="inlineStr">
        <is>
          <t>VÄNNÄS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32330-2020</t>
        </is>
      </c>
      <c r="B65" s="1" t="n">
        <v>44016</v>
      </c>
      <c r="C65" s="1" t="n">
        <v>45842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36439-2020</t>
        </is>
      </c>
      <c r="B66" s="1" t="n">
        <v>44049</v>
      </c>
      <c r="C66" s="1" t="n">
        <v>45842</v>
      </c>
      <c r="D66" t="inlineStr">
        <is>
          <t>VÄSTERBOTTENS LÄN</t>
        </is>
      </c>
      <c r="E66" t="inlineStr">
        <is>
          <t>VÄNNÄS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36440-2020</t>
        </is>
      </c>
      <c r="B67" s="1" t="n">
        <v>44049</v>
      </c>
      <c r="C67" s="1" t="n">
        <v>45842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39129-2020</t>
        </is>
      </c>
      <c r="B68" s="1" t="n">
        <v>44063</v>
      </c>
      <c r="C68" s="1" t="n">
        <v>45842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42406-2020</t>
        </is>
      </c>
      <c r="B69" s="1" t="n">
        <v>44076</v>
      </c>
      <c r="C69" s="1" t="n">
        <v>45842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51472-2020</t>
        </is>
      </c>
      <c r="B70" s="1" t="n">
        <v>44106</v>
      </c>
      <c r="C70" s="1" t="n">
        <v>45842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53758-2020</t>
        </is>
      </c>
      <c r="B71" s="1" t="n">
        <v>44123</v>
      </c>
      <c r="C71" s="1" t="n">
        <v>45842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54734-2020</t>
        </is>
      </c>
      <c r="B72" s="1" t="n">
        <v>44127</v>
      </c>
      <c r="C72" s="1" t="n">
        <v>45842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58614-2020</t>
        </is>
      </c>
      <c r="B73" s="1" t="n">
        <v>44145</v>
      </c>
      <c r="C73" s="1" t="n">
        <v>45842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60469-2020</t>
        </is>
      </c>
      <c r="B74" s="1" t="n">
        <v>44152</v>
      </c>
      <c r="C74" s="1" t="n">
        <v>45842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60502-2020</t>
        </is>
      </c>
      <c r="B75" s="1" t="n">
        <v>44152</v>
      </c>
      <c r="C75" s="1" t="n">
        <v>45842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62476-2020</t>
        </is>
      </c>
      <c r="B76" s="1" t="n">
        <v>44158</v>
      </c>
      <c r="C76" s="1" t="n">
        <v>45842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45842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65419-2020</t>
        </is>
      </c>
      <c r="B78" s="1" t="n">
        <v>44173</v>
      </c>
      <c r="C78" s="1" t="n">
        <v>45842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67421-2020</t>
        </is>
      </c>
      <c r="B79" s="1" t="n">
        <v>44179</v>
      </c>
      <c r="C79" s="1" t="n">
        <v>45842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1153-2021</t>
        </is>
      </c>
      <c r="B80" s="1" t="n">
        <v>44207</v>
      </c>
      <c r="C80" s="1" t="n">
        <v>45842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1920-2021</t>
        </is>
      </c>
      <c r="B81" s="1" t="n">
        <v>44210</v>
      </c>
      <c r="C81" s="1" t="n">
        <v>45842</v>
      </c>
      <c r="D81" t="inlineStr">
        <is>
          <t>VÄSTERBOTTENS LÄN</t>
        </is>
      </c>
      <c r="E81" t="inlineStr">
        <is>
          <t>VÄNNÄS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2594-2021</t>
        </is>
      </c>
      <c r="B82" s="1" t="n">
        <v>44214</v>
      </c>
      <c r="C82" s="1" t="n">
        <v>45842</v>
      </c>
      <c r="D82" t="inlineStr">
        <is>
          <t>VÄSTERBOTTENS LÄN</t>
        </is>
      </c>
      <c r="E82" t="inlineStr">
        <is>
          <t>VÄNNÄS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45842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6288-2021</t>
        </is>
      </c>
      <c r="B84" s="1" t="n">
        <v>44235</v>
      </c>
      <c r="C84" s="1" t="n">
        <v>45842</v>
      </c>
      <c r="D84" t="inlineStr">
        <is>
          <t>VÄSTERBOTTENS LÄN</t>
        </is>
      </c>
      <c r="E84" t="inlineStr">
        <is>
          <t>VÄNNÄS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11989-2021</t>
        </is>
      </c>
      <c r="B85" s="1" t="n">
        <v>44265</v>
      </c>
      <c r="C85" s="1" t="n">
        <v>45842</v>
      </c>
      <c r="D85" t="inlineStr">
        <is>
          <t>VÄSTERBOTTENS LÄN</t>
        </is>
      </c>
      <c r="E85" t="inlineStr">
        <is>
          <t>VÄNNÄS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15409-2021</t>
        </is>
      </c>
      <c r="B86" s="1" t="n">
        <v>44285</v>
      </c>
      <c r="C86" s="1" t="n">
        <v>45842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28065-2021</t>
        </is>
      </c>
      <c r="B87" s="1" t="n">
        <v>44355</v>
      </c>
      <c r="C87" s="1" t="n">
        <v>45842</v>
      </c>
      <c r="D87" t="inlineStr">
        <is>
          <t>VÄSTERBOTTENS LÄN</t>
        </is>
      </c>
      <c r="E87" t="inlineStr">
        <is>
          <t>VÄNNÄS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29712-2021</t>
        </is>
      </c>
      <c r="B88" s="1" t="n">
        <v>44362</v>
      </c>
      <c r="C88" s="1" t="n">
        <v>45842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32739-2021</t>
        </is>
      </c>
      <c r="B89" s="1" t="n">
        <v>44375</v>
      </c>
      <c r="C89" s="1" t="n">
        <v>45842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33226-2021</t>
        </is>
      </c>
      <c r="B90" s="1" t="n">
        <v>44376</v>
      </c>
      <c r="C90" s="1" t="n">
        <v>45842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35557-2021</t>
        </is>
      </c>
      <c r="B91" s="1" t="n">
        <v>44385</v>
      </c>
      <c r="C91" s="1" t="n">
        <v>45842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36342-2021</t>
        </is>
      </c>
      <c r="B92" s="1" t="n">
        <v>44390</v>
      </c>
      <c r="C92" s="1" t="n">
        <v>45842</v>
      </c>
      <c r="D92" t="inlineStr">
        <is>
          <t>VÄSTERBOTTENS LÄN</t>
        </is>
      </c>
      <c r="E92" t="inlineStr">
        <is>
          <t>VÄNNÄS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46950-2021</t>
        </is>
      </c>
      <c r="B93" s="1" t="n">
        <v>44446</v>
      </c>
      <c r="C93" s="1" t="n">
        <v>45842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48890-2021</t>
        </is>
      </c>
      <c r="B94" s="1" t="n">
        <v>44452</v>
      </c>
      <c r="C94" s="1" t="n">
        <v>45842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49644-2021</t>
        </is>
      </c>
      <c r="B95" s="1" t="n">
        <v>44454</v>
      </c>
      <c r="C95" s="1" t="n">
        <v>45842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62553-2021</t>
        </is>
      </c>
      <c r="B96" s="1" t="n">
        <v>44501</v>
      </c>
      <c r="C96" s="1" t="n">
        <v>45842</v>
      </c>
      <c r="D96" t="inlineStr">
        <is>
          <t>VÄSTERBOTTENS LÄN</t>
        </is>
      </c>
      <c r="E96" t="inlineStr">
        <is>
          <t>VÄNNÄS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63981-2021</t>
        </is>
      </c>
      <c r="B97" s="1" t="n">
        <v>44509</v>
      </c>
      <c r="C97" s="1" t="n">
        <v>45842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63980-2021</t>
        </is>
      </c>
      <c r="B98" s="1" t="n">
        <v>44509</v>
      </c>
      <c r="C98" s="1" t="n">
        <v>45842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65939-2021</t>
        </is>
      </c>
      <c r="B99" s="1" t="n">
        <v>44517</v>
      </c>
      <c r="C99" s="1" t="n">
        <v>45842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67514-2021</t>
        </is>
      </c>
      <c r="B100" s="1" t="n">
        <v>44524</v>
      </c>
      <c r="C100" s="1" t="n">
        <v>45842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67534-2021</t>
        </is>
      </c>
      <c r="B101" s="1" t="n">
        <v>44524</v>
      </c>
      <c r="C101" s="1" t="n">
        <v>45842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68300-2021</t>
        </is>
      </c>
      <c r="B102" s="1" t="n">
        <v>44526</v>
      </c>
      <c r="C102" s="1" t="n">
        <v>45842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68632-2021</t>
        </is>
      </c>
      <c r="B103" s="1" t="n">
        <v>44529</v>
      </c>
      <c r="C103" s="1" t="n">
        <v>45842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69901-2021</t>
        </is>
      </c>
      <c r="B104" s="1" t="n">
        <v>44532</v>
      </c>
      <c r="C104" s="1" t="n">
        <v>45842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427-2022</t>
        </is>
      </c>
      <c r="B105" s="1" t="n">
        <v>44565</v>
      </c>
      <c r="C105" s="1" t="n">
        <v>45842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426-2022</t>
        </is>
      </c>
      <c r="B106" s="1" t="n">
        <v>44565</v>
      </c>
      <c r="C106" s="1" t="n">
        <v>45842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429-2022</t>
        </is>
      </c>
      <c r="B107" s="1" t="n">
        <v>44565</v>
      </c>
      <c r="C107" s="1" t="n">
        <v>45842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846-2022</t>
        </is>
      </c>
      <c r="B108" s="1" t="n">
        <v>44571</v>
      </c>
      <c r="C108" s="1" t="n">
        <v>45842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2933-2022</t>
        </is>
      </c>
      <c r="B109" s="1" t="n">
        <v>44581</v>
      </c>
      <c r="C109" s="1" t="n">
        <v>45842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7902-2022</t>
        </is>
      </c>
      <c r="B110" s="1" t="n">
        <v>44608</v>
      </c>
      <c r="C110" s="1" t="n">
        <v>45842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8401-2022</t>
        </is>
      </c>
      <c r="B111" s="1" t="n">
        <v>44610</v>
      </c>
      <c r="C111" s="1" t="n">
        <v>45842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8399-2022</t>
        </is>
      </c>
      <c r="B112" s="1" t="n">
        <v>44610</v>
      </c>
      <c r="C112" s="1" t="n">
        <v>45842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14222-2022</t>
        </is>
      </c>
      <c r="B113" s="1" t="n">
        <v>44651</v>
      </c>
      <c r="C113" s="1" t="n">
        <v>45842</v>
      </c>
      <c r="D113" t="inlineStr">
        <is>
          <t>VÄSTERBOTTENS LÄN</t>
        </is>
      </c>
      <c r="E113" t="inlineStr">
        <is>
          <t>VÄNNÄS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19082-2022</t>
        </is>
      </c>
      <c r="B114" s="1" t="n">
        <v>44691</v>
      </c>
      <c r="C114" s="1" t="n">
        <v>45842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19093-2022</t>
        </is>
      </c>
      <c r="B115" s="1" t="n">
        <v>44691</v>
      </c>
      <c r="C115" s="1" t="n">
        <v>45842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19100-2022</t>
        </is>
      </c>
      <c r="B116" s="1" t="n">
        <v>44691</v>
      </c>
      <c r="C116" s="1" t="n">
        <v>45842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26385-2022</t>
        </is>
      </c>
      <c r="B117" s="1" t="n">
        <v>44735</v>
      </c>
      <c r="C117" s="1" t="n">
        <v>45842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27605-2022</t>
        </is>
      </c>
      <c r="B118" s="1" t="n">
        <v>44742</v>
      </c>
      <c r="C118" s="1" t="n">
        <v>45842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28347-2022</t>
        </is>
      </c>
      <c r="B119" s="1" t="n">
        <v>44747</v>
      </c>
      <c r="C119" s="1" t="n">
        <v>45842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28337-2022</t>
        </is>
      </c>
      <c r="B120" s="1" t="n">
        <v>44747</v>
      </c>
      <c r="C120" s="1" t="n">
        <v>45842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28367-2022</t>
        </is>
      </c>
      <c r="B121" s="1" t="n">
        <v>44747</v>
      </c>
      <c r="C121" s="1" t="n">
        <v>45842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33981-2022</t>
        </is>
      </c>
      <c r="B122" s="1" t="n">
        <v>44791</v>
      </c>
      <c r="C122" s="1" t="n">
        <v>45842</v>
      </c>
      <c r="D122" t="inlineStr">
        <is>
          <t>VÄSTERBOTTENS LÄN</t>
        </is>
      </c>
      <c r="E122" t="inlineStr">
        <is>
          <t>VÄNNÄS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38953-2022</t>
        </is>
      </c>
      <c r="B123" s="1" t="n">
        <v>44816</v>
      </c>
      <c r="C123" s="1" t="n">
        <v>45842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38956-2022</t>
        </is>
      </c>
      <c r="B124" s="1" t="n">
        <v>44816</v>
      </c>
      <c r="C124" s="1" t="n">
        <v>45842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38962-2022</t>
        </is>
      </c>
      <c r="B125" s="1" t="n">
        <v>44816</v>
      </c>
      <c r="C125" s="1" t="n">
        <v>45842</v>
      </c>
      <c r="D125" t="inlineStr">
        <is>
          <t>VÄSTERBOTTENS LÄN</t>
        </is>
      </c>
      <c r="E125" t="inlineStr">
        <is>
          <t>VÄNNÄS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39581-2022</t>
        </is>
      </c>
      <c r="B126" s="1" t="n">
        <v>44816</v>
      </c>
      <c r="C126" s="1" t="n">
        <v>45842</v>
      </c>
      <c r="D126" t="inlineStr">
        <is>
          <t>VÄSTERBOTTENS LÄN</t>
        </is>
      </c>
      <c r="E126" t="inlineStr">
        <is>
          <t>VÄNNÄS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40526-2022</t>
        </is>
      </c>
      <c r="B127" s="1" t="n">
        <v>44819</v>
      </c>
      <c r="C127" s="1" t="n">
        <v>45842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40188-2022</t>
        </is>
      </c>
      <c r="B128" s="1" t="n">
        <v>44820</v>
      </c>
      <c r="C128" s="1" t="n">
        <v>45842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40565-2022</t>
        </is>
      </c>
      <c r="B129" s="1" t="n">
        <v>44823</v>
      </c>
      <c r="C129" s="1" t="n">
        <v>45842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41507-2022</t>
        </is>
      </c>
      <c r="B130" s="1" t="n">
        <v>44827</v>
      </c>
      <c r="C130" s="1" t="n">
        <v>45842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45842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45842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45842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45842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45842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45842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45842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45842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45842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45842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45842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45842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45842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45842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45842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45842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45842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45842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45842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45842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45842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45842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45842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45842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45842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45842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45842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45842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45842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45842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45842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45842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45842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45842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45842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45842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45842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45842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45842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45842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45842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45842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45842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45842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45842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45842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45842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45842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45842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45842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45842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45842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45842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45842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45842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45842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45842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45842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45842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45842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45842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45842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45842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45842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45842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45842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45842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45842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45842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45842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45842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45842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45842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45842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45842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45842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45842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45842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45842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45842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45842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45842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45842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45842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45842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45842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45842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45842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45842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45842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45842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45842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45842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45842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45842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45842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45842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45842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45842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45842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45842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45842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45842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45842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45842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45842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45842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45842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45842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45842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45842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45842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45842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45842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45842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45842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45842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45842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45842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45842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45842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45842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45842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45842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45842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45842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45842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45842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45842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45842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45842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45842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45842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45842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45842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45842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45842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45842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45842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45842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45842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45842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45842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45842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45842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45842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45842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45842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45842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45842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45842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45842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45842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45842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45842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45842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45842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45842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45842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45842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45842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45842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45842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45842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45842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45842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45842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45842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45842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45842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45842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45842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45842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45842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45842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45842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45842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45842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45842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45842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45842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45842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45842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45842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45842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45842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45842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45842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45842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45842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45842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45842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45842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45842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45842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45842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45842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45842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45842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45842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45842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45842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45842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45842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45842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45842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45842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45842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45842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45842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45842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45842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45842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45842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45842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45842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45842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45842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45842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45842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45842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45842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45842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45842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45842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45842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45842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45842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45842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45842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45842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45842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45842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45842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45842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45842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45842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45842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2025-07-04T19:01:54Z</dcterms:created>
  <dcterms:modified xmlns:dcterms="http://purl.org/dc/terms/" xmlns:xsi="http://www.w3.org/2001/XMLSchema-instance" xsi:type="dcterms:W3CDTF">2025-07-04T19:01:55Z</dcterms:modified>
</cp:coreProperties>
</file>