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46239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46239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46239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46239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46239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HYPERLINK("https://klasma.github.io/Logging_2460/artfynd/A 60033-2024 artfynd.xlsx", "A 60033-2024")</f>
        <v/>
      </c>
      <c r="X11">
        <f>HYPERLINK("https://klasma.github.io/Logging_2460/kartor/A 60033-2024 karta.png", "A 60033-2024")</f>
        <v/>
      </c>
      <c r="Y11">
        <f>HYPERLINK("https://klasma.github.io/Logging_2460/kartor_geotiff/A 60033-2024 georefererad karta.tif", "A 60033-2024")</f>
        <v/>
      </c>
      <c r="AA11">
        <f>HYPERLINK("https://klasma.github.io/Logging_2460/klagomål/A 60033-2024 FSC-klagomål.docx", "A 60033-2024")</f>
        <v/>
      </c>
      <c r="AB11">
        <f>HYPERLINK("https://klasma.github.io/Logging_2460/klagomålsmail/A 60033-2024 FSC-klagomål mail.docx", "A 60033-2024")</f>
        <v/>
      </c>
      <c r="AC11">
        <f>HYPERLINK("https://klasma.github.io/Logging_2460/tillsyn/A 60033-2024 tillsynsbegäran.docx", "A 60033-2024")</f>
        <v/>
      </c>
      <c r="AD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46239</v>
      </c>
      <c r="F12" t="inlineStr">
        <is>
          <t>VÄSTERBOTTENS LÄN</t>
        </is>
      </c>
      <c r="G12" t="inlineStr">
        <is>
          <t>VÄNNÄS</t>
        </is>
      </c>
      <c r="I12" t="n">
        <v>2.8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Talltita</t>
        </is>
      </c>
      <c r="W12">
        <f>HYPERLINK("https://klasma.github.io/Logging_2460/artfynd/A 24846-2025 artfynd.xlsx", "A 24846-2025")</f>
        <v/>
      </c>
      <c r="X12">
        <f>HYPERLINK("https://klasma.github.io/Logging_2460/kartor/A 24846-2025 karta.png", "A 24846-2025")</f>
        <v/>
      </c>
      <c r="Y12">
        <f>HYPERLINK("https://klasma.github.io/Logging_2460/kartor_geotiff/A 24846-2025 georefererad karta.tif", "A 24846-2025")</f>
        <v/>
      </c>
      <c r="AA12">
        <f>HYPERLINK("https://klasma.github.io/Logging_2460/klagomål/A 24846-2025 FSC-klagomål.docx", "A 24846-2025")</f>
        <v/>
      </c>
      <c r="AB12">
        <f>HYPERLINK("https://klasma.github.io/Logging_2460/klagomålsmail/A 24846-2025 FSC-klagomål mail.docx", "A 24846-2025")</f>
        <v/>
      </c>
      <c r="AC12">
        <f>HYPERLINK("https://klasma.github.io/Logging_2460/tillsyn/A 24846-2025 tillsynsbegäran.docx", "A 24846-2025")</f>
        <v/>
      </c>
      <c r="AD12">
        <f>HYPERLINK("https://klasma.github.io/Logging_2460/tillsynsmail/A 24846-2025 tillsynsbegäran mail.docx", "A 24846-2025")</f>
        <v/>
      </c>
      <c r="AE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46239</v>
      </c>
      <c r="F13" t="inlineStr">
        <is>
          <t>VÄSTERBOTTENS LÄN</t>
        </is>
      </c>
      <c r="G13" t="inlineStr">
        <is>
          <t>VÄNNÄS</t>
        </is>
      </c>
      <c r="I13" t="n">
        <v>3.1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HYPERLINK("https://klasma.github.io/Logging_2460/artfynd/A 62418-2025 artfynd.xlsx", "A 62418-2025")</f>
        <v/>
      </c>
      <c r="X13">
        <f>HYPERLINK("https://klasma.github.io/Logging_2460/kartor/A 62418-2025 karta.png", "A 62418-2025")</f>
        <v/>
      </c>
      <c r="Y13">
        <f>HYPERLINK("https://klasma.github.io/Logging_2460/kartor_geotiff/A 62418-2025 georefererad karta.tif", "A 62418-2025")</f>
        <v/>
      </c>
      <c r="AA13">
        <f>HYPERLINK("https://klasma.github.io/Logging_2460/klagomål/A 62418-2025 FSC-klagomål.docx", "A 62418-2025")</f>
        <v/>
      </c>
      <c r="AB13">
        <f>HYPERLINK("https://klasma.github.io/Logging_2460/klagomålsmail/A 62418-2025 FSC-klagomål mail.docx", "A 62418-2025")</f>
        <v/>
      </c>
      <c r="AC13">
        <f>HYPERLINK("https://klasma.github.io/Logging_2460/tillsyn/A 62418-2025 tillsynsbegäran.docx", "A 62418-2025")</f>
        <v/>
      </c>
      <c r="AD13">
        <f>HYPERLINK("https://klasma.github.io/Logging_2460/tillsynsmail/A 62418-2025 tillsynsbegäran mail.docx", "A 62418-2025")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46239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10475-2026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46077</v>
      </c>
      <c r="E15" s="1" t="n">
        <v>46239</v>
      </c>
      <c r="F15" t="inlineStr">
        <is>
          <t>VÄSTERBOTTENS LÄN</t>
        </is>
      </c>
      <c r="G15" t="inlineStr">
        <is>
          <t>VÄNNÄS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Garnlav</t>
        </is>
      </c>
      <c r="W15">
        <f>HYPERLINK("https://klasma.github.io/Logging_2460/artfynd/A 10475-2026 artfynd.xlsx", "A 10475-2026")</f>
        <v/>
      </c>
      <c r="X15">
        <f>HYPERLINK("https://klasma.github.io/Logging_2460/kartor/A 10475-2026 karta.png", "A 10475-2026")</f>
        <v/>
      </c>
      <c r="Y15">
        <f>HYPERLINK("https://klasma.github.io/Logging_2460/kartor_geotiff/A 10475-2026 georefererad karta.tif", "A 10475-2026")</f>
        <v/>
      </c>
      <c r="AA15">
        <f>HYPERLINK("https://klasma.github.io/Logging_2460/klagomål/A 10475-2026 FSC-klagomål.docx", "A 10475-2026")</f>
        <v/>
      </c>
      <c r="AB15">
        <f>HYPERLINK("https://klasma.github.io/Logging_2460/klagomålsmail/A 10475-2026 FSC-klagomål mail.docx", "A 10475-2026")</f>
        <v/>
      </c>
      <c r="AC15">
        <f>HYPERLINK("https://klasma.github.io/Logging_2460/tillsyn/A 10475-2026 tillsynsbegäran.docx", "A 10475-2026")</f>
        <v/>
      </c>
      <c r="AD15">
        <f>HYPERLINK("https://klasma.github.io/Logging_2460/tillsynsmail/A 10475-2026 tillsynsbegäran mail.docx", "A 10475-2026")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46239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46239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46239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46239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46239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46239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46239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46239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46239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46950-2021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44446</v>
      </c>
      <c r="E25" s="1" t="n">
        <v>46239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47772-2022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46239</v>
      </c>
      <c r="F26" t="inlineStr">
        <is>
          <t>VÄSTERBOTTENS LÄN</t>
        </is>
      </c>
      <c r="G26" t="inlineStr">
        <is>
          <t>VÄNNÄS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46239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46239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44524</v>
      </c>
      <c r="E29" s="1" t="n">
        <v>46239</v>
      </c>
      <c r="F29" t="inlineStr">
        <is>
          <t>VÄSTERBOTTENS LÄN</t>
        </is>
      </c>
      <c r="G29" t="inlineStr">
        <is>
          <t>VÄNNÄS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45218</v>
      </c>
      <c r="E30" s="1" t="n">
        <v>46239</v>
      </c>
      <c r="F30" t="inlineStr">
        <is>
          <t>VÄSTERBOTTENS LÄN</t>
        </is>
      </c>
      <c r="G30" t="inlineStr">
        <is>
          <t>VÄNNÄS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46239</v>
      </c>
      <c r="F31" t="inlineStr">
        <is>
          <t>VÄSTERBOTTENS LÄN</t>
        </is>
      </c>
      <c r="G31" t="inlineStr">
        <is>
          <t>VÄNNÄS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45549</v>
      </c>
      <c r="E32" s="1" t="n">
        <v>46239</v>
      </c>
      <c r="F32" t="inlineStr">
        <is>
          <t>VÄSTERBOTTENS LÄN</t>
        </is>
      </c>
      <c r="G32" t="inlineStr">
        <is>
          <t>VÄNNÄS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46239</v>
      </c>
      <c r="F33" t="inlineStr">
        <is>
          <t>VÄSTERBOTTENS LÄN</t>
        </is>
      </c>
      <c r="G33" t="inlineStr">
        <is>
          <t>VÄNNÄS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30163-2025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45827</v>
      </c>
      <c r="E34" s="1" t="n">
        <v>46239</v>
      </c>
      <c r="F34" t="inlineStr">
        <is>
          <t>VÄSTERBOTTENS LÄN</t>
        </is>
      </c>
      <c r="G34" t="inlineStr">
        <is>
          <t>VÄNNÄS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46239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46239</v>
      </c>
      <c r="F36" t="inlineStr">
        <is>
          <t>VÄSTERBOTTENS LÄN</t>
        </is>
      </c>
      <c r="G36" t="inlineStr">
        <is>
          <t>VÄNNÄS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15674-2025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45748</v>
      </c>
      <c r="E37" s="1" t="n">
        <v>46239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45390</v>
      </c>
      <c r="E38" s="1" t="n">
        <v>46239</v>
      </c>
      <c r="F38" t="inlineStr">
        <is>
          <t>VÄSTERBOTTENS LÄN</t>
        </is>
      </c>
      <c r="G38" t="inlineStr">
        <is>
          <t>VÄNNÄS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44691</v>
      </c>
      <c r="E39" s="1" t="n">
        <v>46239</v>
      </c>
      <c r="F39" t="inlineStr">
        <is>
          <t>VÄSTERBOTTENS LÄN</t>
        </is>
      </c>
      <c r="G39" t="inlineStr">
        <is>
          <t>VÄNNÄS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22193-2023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45069</v>
      </c>
      <c r="E40" s="1" t="n">
        <v>46239</v>
      </c>
      <c r="F40" t="inlineStr">
        <is>
          <t>VÄSTERBOTTENS LÄN</t>
        </is>
      </c>
      <c r="G40" t="inlineStr">
        <is>
          <t>VÄNNÄS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44571</v>
      </c>
      <c r="E41" s="1" t="n">
        <v>46239</v>
      </c>
      <c r="F41" t="inlineStr">
        <is>
          <t>VÄSTERBOTTENS LÄN</t>
        </is>
      </c>
      <c r="G41" t="inlineStr">
        <is>
          <t>VÄNNÄS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45356</v>
      </c>
      <c r="E42" s="1" t="n">
        <v>46239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45411</v>
      </c>
      <c r="E43" s="1" t="n">
        <v>46239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45503</v>
      </c>
      <c r="E44" s="1" t="n">
        <v>46239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45504</v>
      </c>
      <c r="E45" s="1" t="n">
        <v>46239</v>
      </c>
      <c r="F45" t="inlineStr">
        <is>
          <t>VÄSTERBOTTENS LÄN</t>
        </is>
      </c>
      <c r="G45" t="inlineStr">
        <is>
          <t>VÄNNÄS</t>
        </is>
      </c>
      <c r="H45" t="inlineStr">
        <is>
          <t>Holmen skog AB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25347-2024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45462</v>
      </c>
      <c r="E46" s="1" t="n">
        <v>46239</v>
      </c>
      <c r="F46" t="inlineStr">
        <is>
          <t>VÄSTERBOTTENS LÄN</t>
        </is>
      </c>
      <c r="G46" t="inlineStr">
        <is>
          <t>VÄNNÄS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44935</v>
      </c>
      <c r="E47" s="1" t="n">
        <v>46239</v>
      </c>
      <c r="F47" t="inlineStr">
        <is>
          <t>VÄSTERBOTTENS LÄN</t>
        </is>
      </c>
      <c r="G47" t="inlineStr">
        <is>
          <t>VÄNNÄS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46212-2024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46239</v>
      </c>
      <c r="F48" t="inlineStr">
        <is>
          <t>VÄSTERBOTTENS LÄN</t>
        </is>
      </c>
      <c r="G48" t="inlineStr">
        <is>
          <t>VÄNNÄS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45118</v>
      </c>
      <c r="E49" s="1" t="n">
        <v>46239</v>
      </c>
      <c r="F49" t="inlineStr">
        <is>
          <t>VÄSTERBOTTENS LÄN</t>
        </is>
      </c>
      <c r="G49" t="inlineStr">
        <is>
          <t>VÄNNÄS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46239</v>
      </c>
      <c r="F50" t="inlineStr">
        <is>
          <t>VÄSTERBOTTENS LÄN</t>
        </is>
      </c>
      <c r="G50" t="inlineStr">
        <is>
          <t>VÄNNÄS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44929</v>
      </c>
      <c r="E51" s="1" t="n">
        <v>46239</v>
      </c>
      <c r="F51" t="inlineStr">
        <is>
          <t>VÄSTERBOTTENS LÄN</t>
        </is>
      </c>
      <c r="G51" t="inlineStr">
        <is>
          <t>VÄNNÄS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46239</v>
      </c>
      <c r="F52" t="inlineStr">
        <is>
          <t>VÄSTERBOTTENS LÄN</t>
        </is>
      </c>
      <c r="G52" t="inlineStr">
        <is>
          <t>VÄNNÄS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45730</v>
      </c>
      <c r="E53" s="1" t="n">
        <v>46239</v>
      </c>
      <c r="F53" t="inlineStr">
        <is>
          <t>VÄSTERBOTTENS LÄN</t>
        </is>
      </c>
      <c r="G53" t="inlineStr">
        <is>
          <t>VÄNNÄS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45508</v>
      </c>
      <c r="E54" s="1" t="n">
        <v>46239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45730</v>
      </c>
      <c r="E55" s="1" t="n">
        <v>46239</v>
      </c>
      <c r="F55" t="inlineStr">
        <is>
          <t>VÄSTERBOTTENS LÄN</t>
        </is>
      </c>
      <c r="G55" t="inlineStr">
        <is>
          <t>VÄNNÄS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56258-2024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45624</v>
      </c>
      <c r="E56" s="1" t="n">
        <v>46239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46239</v>
      </c>
      <c r="F57" t="inlineStr">
        <is>
          <t>VÄSTERBOTTENS LÄN</t>
        </is>
      </c>
      <c r="G57" t="inlineStr">
        <is>
          <t>VÄNNÄS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46239</v>
      </c>
      <c r="F58" t="inlineStr">
        <is>
          <t>VÄSTERBOTTENS LÄN</t>
        </is>
      </c>
      <c r="G58" t="inlineStr">
        <is>
          <t>VÄNNÄS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45463</v>
      </c>
      <c r="E59" s="1" t="n">
        <v>46239</v>
      </c>
      <c r="F59" t="inlineStr">
        <is>
          <t>VÄSTERBOTTENS LÄN</t>
        </is>
      </c>
      <c r="G59" t="inlineStr">
        <is>
          <t>VÄNNÄS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46239</v>
      </c>
      <c r="F60" t="inlineStr">
        <is>
          <t>VÄSTERBOTTENS LÄN</t>
        </is>
      </c>
      <c r="G60" t="inlineStr">
        <is>
          <t>VÄNNÄS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45517</v>
      </c>
      <c r="E61" s="1" t="n">
        <v>46239</v>
      </c>
      <c r="F61" t="inlineStr">
        <is>
          <t>VÄSTERBOTTENS LÄN</t>
        </is>
      </c>
      <c r="G61" t="inlineStr">
        <is>
          <t>VÄNNÄS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46239</v>
      </c>
      <c r="F62" t="inlineStr">
        <is>
          <t>VÄSTERBOTTENS LÄN</t>
        </is>
      </c>
      <c r="G62" t="inlineStr">
        <is>
          <t>VÄNNÄS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63817-2023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45275</v>
      </c>
      <c r="E63" s="1" t="n">
        <v>46239</v>
      </c>
      <c r="F63" t="inlineStr">
        <is>
          <t>VÄSTERBOTTENS LÄN</t>
        </is>
      </c>
      <c r="G63" t="inlineStr">
        <is>
          <t>VÄNNÄS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32792-2024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45516</v>
      </c>
      <c r="E64" s="1" t="n">
        <v>46239</v>
      </c>
      <c r="F64" t="inlineStr">
        <is>
          <t>VÄSTERBOTTENS LÄN</t>
        </is>
      </c>
      <c r="G64" t="inlineStr">
        <is>
          <t>VÄNNÄS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46239</v>
      </c>
      <c r="F65" t="inlineStr">
        <is>
          <t>VÄSTERBOTTENS LÄN</t>
        </is>
      </c>
      <c r="G65" t="inlineStr">
        <is>
          <t>VÄNNÄS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46239</v>
      </c>
      <c r="F66" t="inlineStr">
        <is>
          <t>VÄSTERBOTTENS LÄN</t>
        </is>
      </c>
      <c r="G66" t="inlineStr">
        <is>
          <t>VÄNNÄS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46239</v>
      </c>
      <c r="F67" t="inlineStr">
        <is>
          <t>VÄSTERBOTTENS LÄN</t>
        </is>
      </c>
      <c r="G67" t="inlineStr">
        <is>
          <t>VÄNNÄS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35354-2023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45146</v>
      </c>
      <c r="E68" s="1" t="n">
        <v>46239</v>
      </c>
      <c r="F68" t="inlineStr">
        <is>
          <t>VÄSTERBOTTENS LÄN</t>
        </is>
      </c>
      <c r="G68" t="inlineStr">
        <is>
          <t>VÄNNÄS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44987</v>
      </c>
      <c r="E69" s="1" t="n">
        <v>46239</v>
      </c>
      <c r="F69" t="inlineStr">
        <is>
          <t>VÄSTERBOTTENS LÄN</t>
        </is>
      </c>
      <c r="G69" t="inlineStr">
        <is>
          <t>VÄNNÄS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46239</v>
      </c>
      <c r="F70" t="inlineStr">
        <is>
          <t>VÄSTERBOTTENS LÄN</t>
        </is>
      </c>
      <c r="G70" t="inlineStr">
        <is>
          <t>VÄNNÄS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46239</v>
      </c>
      <c r="F71" t="inlineStr">
        <is>
          <t>VÄSTERBOTTENS LÄN</t>
        </is>
      </c>
      <c r="G71" t="inlineStr">
        <is>
          <t>VÄNNÄS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46239</v>
      </c>
      <c r="F72" t="inlineStr">
        <is>
          <t>VÄSTERBOTTENS LÄN</t>
        </is>
      </c>
      <c r="G72" t="inlineStr">
        <is>
          <t>VÄNNÄS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42902-2025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45908</v>
      </c>
      <c r="E73" s="1" t="n">
        <v>46239</v>
      </c>
      <c r="F73" t="inlineStr">
        <is>
          <t>VÄSTERBOTTENS LÄN</t>
        </is>
      </c>
      <c r="G73" t="inlineStr">
        <is>
          <t>VÄNNÄS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10440-2023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44987</v>
      </c>
      <c r="E74" s="1" t="n">
        <v>46239</v>
      </c>
      <c r="F74" t="inlineStr">
        <is>
          <t>VÄSTERBOTTENS LÄN</t>
        </is>
      </c>
      <c r="G74" t="inlineStr">
        <is>
          <t>VÄNNÄS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46239</v>
      </c>
      <c r="F75" t="inlineStr">
        <is>
          <t>VÄSTERBOTTENS LÄN</t>
        </is>
      </c>
      <c r="G75" t="inlineStr">
        <is>
          <t>VÄNNÄS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46239</v>
      </c>
      <c r="F76" t="inlineStr">
        <is>
          <t>VÄSTERBOTTENS LÄN</t>
        </is>
      </c>
      <c r="G76" t="inlineStr">
        <is>
          <t>VÄNNÄS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46239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42141-2023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45177</v>
      </c>
      <c r="E78" s="1" t="n">
        <v>46239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46239</v>
      </c>
      <c r="F79" t="inlineStr">
        <is>
          <t>VÄSTERBOTTENS LÄN</t>
        </is>
      </c>
      <c r="G79" t="inlineStr">
        <is>
          <t>VÄNNÄS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46239</v>
      </c>
      <c r="F80" t="inlineStr">
        <is>
          <t>VÄSTERBOTTENS LÄN</t>
        </is>
      </c>
      <c r="G80" t="inlineStr">
        <is>
          <t>VÄNNÄS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46239</v>
      </c>
      <c r="F81" t="inlineStr">
        <is>
          <t>VÄSTERBOTTENS LÄN</t>
        </is>
      </c>
      <c r="G81" t="inlineStr">
        <is>
          <t>VÄNNÄS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46239</v>
      </c>
      <c r="F82" t="inlineStr">
        <is>
          <t>VÄSTERBOTTENS LÄN</t>
        </is>
      </c>
      <c r="G82" t="inlineStr">
        <is>
          <t>VÄNNÄS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46239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46239</v>
      </c>
      <c r="F84" t="inlineStr">
        <is>
          <t>VÄSTERBOTTENS LÄN</t>
        </is>
      </c>
      <c r="G84" t="inlineStr">
        <is>
          <t>VÄNNÄS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46239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46239</v>
      </c>
      <c r="F86" t="inlineStr">
        <is>
          <t>VÄSTERBOTTENS LÄN</t>
        </is>
      </c>
      <c r="G86" t="inlineStr">
        <is>
          <t>VÄNNÄS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46239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45669</v>
      </c>
      <c r="E88" s="1" t="n">
        <v>46239</v>
      </c>
      <c r="F88" t="inlineStr">
        <is>
          <t>VÄSTERBOTTENS LÄN</t>
        </is>
      </c>
      <c r="G88" t="inlineStr">
        <is>
          <t>VÄNNÄS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46239</v>
      </c>
      <c r="F89" t="inlineStr">
        <is>
          <t>VÄSTERBOTTENS LÄN</t>
        </is>
      </c>
      <c r="G89" t="inlineStr">
        <is>
          <t>VÄNNÄS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46239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46239</v>
      </c>
      <c r="F91" t="inlineStr">
        <is>
          <t>VÄSTERBOTTENS LÄN</t>
        </is>
      </c>
      <c r="G91" t="inlineStr">
        <is>
          <t>VÄNNÄS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46239</v>
      </c>
      <c r="F92" t="inlineStr">
        <is>
          <t>VÄSTERBOTTENS LÄN</t>
        </is>
      </c>
      <c r="G92" t="inlineStr">
        <is>
          <t>VÄNNÄS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46239</v>
      </c>
      <c r="F93" t="inlineStr">
        <is>
          <t>VÄSTERBOTTENS LÄN</t>
        </is>
      </c>
      <c r="G93" t="inlineStr">
        <is>
          <t>VÄNNÄS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46239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45713</v>
      </c>
      <c r="E95" s="1" t="n">
        <v>46239</v>
      </c>
      <c r="F95" t="inlineStr">
        <is>
          <t>VÄSTERBOTTENS LÄN</t>
        </is>
      </c>
      <c r="G95" t="inlineStr">
        <is>
          <t>VÄNNÄS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46148</v>
      </c>
      <c r="E96" s="1" t="n">
        <v>46239</v>
      </c>
      <c r="F96" t="inlineStr">
        <is>
          <t>VÄSTERBOTTENS LÄN</t>
        </is>
      </c>
      <c r="G96" t="inlineStr">
        <is>
          <t>VÄNNÄS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46239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46239</v>
      </c>
      <c r="F98" t="inlineStr">
        <is>
          <t>VÄSTERBOTTENS LÄN</t>
        </is>
      </c>
      <c r="G98" t="inlineStr">
        <is>
          <t>VÄNNÄS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46239</v>
      </c>
      <c r="F99" t="inlineStr">
        <is>
          <t>VÄSTERBOTTENS LÄN</t>
        </is>
      </c>
      <c r="G99" t="inlineStr">
        <is>
          <t>VÄNNÄS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46239</v>
      </c>
      <c r="F100" t="inlineStr">
        <is>
          <t>VÄSTERBOTTENS LÄN</t>
        </is>
      </c>
      <c r="G100" t="inlineStr">
        <is>
          <t>VÄNNÄS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45939</v>
      </c>
      <c r="E101" s="1" t="n">
        <v>46239</v>
      </c>
      <c r="F101" t="inlineStr">
        <is>
          <t>VÄSTERBOTTENS LÄN</t>
        </is>
      </c>
      <c r="G101" t="inlineStr">
        <is>
          <t>VÄNNÄS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46239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46239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Kommuner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46149</v>
      </c>
      <c r="E104" s="1" t="n">
        <v>46239</v>
      </c>
      <c r="F104" t="inlineStr">
        <is>
          <t>VÄSTERBOTTENS LÄN</t>
        </is>
      </c>
      <c r="G104" t="inlineStr">
        <is>
          <t>VÄNNÄS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45609</v>
      </c>
      <c r="E105" s="1" t="n">
        <v>46239</v>
      </c>
      <c r="F105" t="inlineStr">
        <is>
          <t>VÄSTERBOTTENS LÄN</t>
        </is>
      </c>
      <c r="G105" t="inlineStr">
        <is>
          <t>VÄNNÄS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45118</v>
      </c>
      <c r="E106" s="1" t="n">
        <v>46239</v>
      </c>
      <c r="F106" t="inlineStr">
        <is>
          <t>VÄSTERBOTTENS LÄN</t>
        </is>
      </c>
      <c r="G106" t="inlineStr">
        <is>
          <t>VÄNNÄS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46239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46239</v>
      </c>
      <c r="F108" t="inlineStr">
        <is>
          <t>VÄSTERBOTTENS LÄN</t>
        </is>
      </c>
      <c r="G108" t="inlineStr">
        <is>
          <t>VÄNNÄS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46239</v>
      </c>
      <c r="F109" t="inlineStr">
        <is>
          <t>VÄSTERBOTTENS LÄN</t>
        </is>
      </c>
      <c r="G109" t="inlineStr">
        <is>
          <t>VÄNNÄS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45951</v>
      </c>
      <c r="E110" s="1" t="n">
        <v>46239</v>
      </c>
      <c r="F110" t="inlineStr">
        <is>
          <t>VÄSTERBOTTENS LÄN</t>
        </is>
      </c>
      <c r="G110" t="inlineStr">
        <is>
          <t>VÄNNÄS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46239</v>
      </c>
      <c r="F111" t="inlineStr">
        <is>
          <t>VÄSTERBOTTENS LÄN</t>
        </is>
      </c>
      <c r="G111" t="inlineStr">
        <is>
          <t>VÄNNÄS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46239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46239</v>
      </c>
      <c r="F113" t="inlineStr">
        <is>
          <t>VÄSTERBOTTENS LÄN</t>
        </is>
      </c>
      <c r="G113" t="inlineStr">
        <is>
          <t>VÄNNÄS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46239</v>
      </c>
      <c r="F114" t="inlineStr">
        <is>
          <t>VÄSTERBOTTENS LÄN</t>
        </is>
      </c>
      <c r="G114" t="inlineStr">
        <is>
          <t>VÄNNÄS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46239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46239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28752-2026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46198</v>
      </c>
      <c r="E117" s="1" t="n">
        <v>46239</v>
      </c>
      <c r="F117" t="inlineStr">
        <is>
          <t>VÄSTERBOTTENS LÄN</t>
        </is>
      </c>
      <c r="G117" t="inlineStr">
        <is>
          <t>VÄNNÄS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46239</v>
      </c>
      <c r="F118" t="inlineStr">
        <is>
          <t>VÄSTERBOTTENS LÄN</t>
        </is>
      </c>
      <c r="G118" t="inlineStr">
        <is>
          <t>VÄNNÄS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46239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46239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46239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46239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Holmen skog AB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46239</v>
      </c>
      <c r="F123" t="inlineStr">
        <is>
          <t>VÄSTERBOTTENS LÄN</t>
        </is>
      </c>
      <c r="G123" t="inlineStr">
        <is>
          <t>VÄNNÄS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46239</v>
      </c>
      <c r="F124" t="inlineStr">
        <is>
          <t>VÄSTERBOTTENS LÄN</t>
        </is>
      </c>
      <c r="G124" t="inlineStr">
        <is>
          <t>VÄNNÄS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46239</v>
      </c>
      <c r="F125" t="inlineStr">
        <is>
          <t>VÄSTERBOTTENS LÄN</t>
        </is>
      </c>
      <c r="G125" t="inlineStr">
        <is>
          <t>VÄNNÄS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46239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45792</v>
      </c>
      <c r="E127" s="1" t="n">
        <v>46239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60640-2024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45644</v>
      </c>
      <c r="E128" s="1" t="n">
        <v>46239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Holmen skog AB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46239</v>
      </c>
      <c r="F129" t="inlineStr">
        <is>
          <t>VÄSTERBOTTENS LÄN</t>
        </is>
      </c>
      <c r="G129" t="inlineStr">
        <is>
          <t>VÄNNÄS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46162</v>
      </c>
      <c r="E130" s="1" t="n">
        <v>46239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46239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46239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46239</v>
      </c>
      <c r="F133" t="inlineStr">
        <is>
          <t>VÄSTERBOTTENS LÄN</t>
        </is>
      </c>
      <c r="G133" t="inlineStr">
        <is>
          <t>VÄNNÄS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46161</v>
      </c>
      <c r="E134" s="1" t="n">
        <v>46239</v>
      </c>
      <c r="F134" t="inlineStr">
        <is>
          <t>VÄSTERBOTTENS LÄN</t>
        </is>
      </c>
      <c r="G134" t="inlineStr">
        <is>
          <t>VÄNNÄS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46239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46239</v>
      </c>
      <c r="F136" t="inlineStr">
        <is>
          <t>VÄSTERBOTTENS LÄN</t>
        </is>
      </c>
      <c r="G136" t="inlineStr">
        <is>
          <t>VÄNNÄS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46239</v>
      </c>
      <c r="F137" t="inlineStr">
        <is>
          <t>VÄSTERBOTTENS LÄN</t>
        </is>
      </c>
      <c r="G137" t="inlineStr">
        <is>
          <t>VÄNNÄS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46239</v>
      </c>
      <c r="F138" t="inlineStr">
        <is>
          <t>VÄSTERBOTTENS LÄN</t>
        </is>
      </c>
      <c r="G138" t="inlineStr">
        <is>
          <t>VÄNNÄS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46239</v>
      </c>
      <c r="F139" t="inlineStr">
        <is>
          <t>VÄSTERBOTTENS LÄN</t>
        </is>
      </c>
      <c r="G139" t="inlineStr">
        <is>
          <t>VÄNNÄS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46239</v>
      </c>
      <c r="F140" t="inlineStr">
        <is>
          <t>VÄSTERBOTTENS LÄN</t>
        </is>
      </c>
      <c r="G140" t="inlineStr">
        <is>
          <t>VÄNNÄS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46239</v>
      </c>
      <c r="F141" t="inlineStr">
        <is>
          <t>VÄSTERBOTTENS LÄN</t>
        </is>
      </c>
      <c r="G141" t="inlineStr">
        <is>
          <t>VÄNNÄS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46239</v>
      </c>
      <c r="F142" t="inlineStr">
        <is>
          <t>VÄSTERBOTTENS LÄN</t>
        </is>
      </c>
      <c r="G142" t="inlineStr">
        <is>
          <t>VÄNNÄS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46239</v>
      </c>
      <c r="F143" t="inlineStr">
        <is>
          <t>VÄSTERBOTTENS LÄN</t>
        </is>
      </c>
      <c r="G143" t="inlineStr">
        <is>
          <t>VÄNNÄS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46239</v>
      </c>
      <c r="F144" t="inlineStr">
        <is>
          <t>VÄSTERBOTTENS LÄN</t>
        </is>
      </c>
      <c r="G144" t="inlineStr">
        <is>
          <t>VÄNNÄS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46239</v>
      </c>
      <c r="F145" t="inlineStr">
        <is>
          <t>VÄSTERBOTTENS LÄN</t>
        </is>
      </c>
      <c r="G145" t="inlineStr">
        <is>
          <t>VÄNNÄS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46239</v>
      </c>
      <c r="F146" t="inlineStr">
        <is>
          <t>VÄSTERBOTTENS LÄN</t>
        </is>
      </c>
      <c r="G146" t="inlineStr">
        <is>
          <t>VÄNNÄS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46239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46239</v>
      </c>
      <c r="F148" t="inlineStr">
        <is>
          <t>VÄSTERBOTTENS LÄN</t>
        </is>
      </c>
      <c r="G148" t="inlineStr">
        <is>
          <t>VÄNNÄS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46239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46239</v>
      </c>
      <c r="F150" t="inlineStr">
        <is>
          <t>VÄSTERBOTTENS LÄN</t>
        </is>
      </c>
      <c r="G150" t="inlineStr">
        <is>
          <t>VÄNNÄS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46239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46239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46239</v>
      </c>
      <c r="F153" t="inlineStr">
        <is>
          <t>VÄSTERBOTTENS LÄN</t>
        </is>
      </c>
      <c r="G153" t="inlineStr">
        <is>
          <t>VÄNNÄS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46239</v>
      </c>
      <c r="F154" t="inlineStr">
        <is>
          <t>VÄSTERBOTTENS LÄN</t>
        </is>
      </c>
      <c r="G154" t="inlineStr">
        <is>
          <t>VÄNNÄS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44509</v>
      </c>
      <c r="E155" s="1" t="n">
        <v>46239</v>
      </c>
      <c r="F155" t="inlineStr">
        <is>
          <t>VÄSTERBOTTENS LÄN</t>
        </is>
      </c>
      <c r="G155" t="inlineStr">
        <is>
          <t>VÄNNÄS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46239</v>
      </c>
      <c r="F156" t="inlineStr">
        <is>
          <t>VÄSTERBOTTENS LÄN</t>
        </is>
      </c>
      <c r="G156" t="inlineStr">
        <is>
          <t>VÄNNÄS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46239</v>
      </c>
      <c r="F157" t="inlineStr">
        <is>
          <t>VÄSTERBOTTENS LÄN</t>
        </is>
      </c>
      <c r="G157" t="inlineStr">
        <is>
          <t>VÄNNÄS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46239</v>
      </c>
      <c r="F158" t="inlineStr">
        <is>
          <t>VÄSTERBOTTENS LÄN</t>
        </is>
      </c>
      <c r="G158" t="inlineStr">
        <is>
          <t>VÄNNÄS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59867-2025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45992</v>
      </c>
      <c r="E159" s="1" t="n">
        <v>46239</v>
      </c>
      <c r="F159" t="inlineStr">
        <is>
          <t>VÄSTERBOTTENS LÄN</t>
        </is>
      </c>
      <c r="G159" t="inlineStr">
        <is>
          <t>VÄNNÄS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46210</v>
      </c>
      <c r="E160" s="1" t="n">
        <v>46239</v>
      </c>
      <c r="F160" t="inlineStr">
        <is>
          <t>VÄSTERBOTTENS LÄN</t>
        </is>
      </c>
      <c r="G160" t="inlineStr">
        <is>
          <t>VÄNNÄS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45995</v>
      </c>
      <c r="E161" s="1" t="n">
        <v>46239</v>
      </c>
      <c r="F161" t="inlineStr">
        <is>
          <t>VÄSTERBOTTENS LÄN</t>
        </is>
      </c>
      <c r="G161" t="inlineStr">
        <is>
          <t>VÄNNÄS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45996</v>
      </c>
      <c r="E162" s="1" t="n">
        <v>46239</v>
      </c>
      <c r="F162" t="inlineStr">
        <is>
          <t>VÄSTERBOTTENS LÄN</t>
        </is>
      </c>
      <c r="G162" t="inlineStr">
        <is>
          <t>VÄNNÄS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46239</v>
      </c>
      <c r="F163" t="inlineStr">
        <is>
          <t>VÄSTERBOTTENS LÄN</t>
        </is>
      </c>
      <c r="G163" t="inlineStr">
        <is>
          <t>VÄNNÄS</t>
        </is>
      </c>
      <c r="I163" t="n">
        <v>8.300000000000001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46239</v>
      </c>
      <c r="F164" t="inlineStr">
        <is>
          <t>VÄSTERBOTTENS LÄN</t>
        </is>
      </c>
      <c r="G164" t="inlineStr">
        <is>
          <t>VÄNNÄS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46239</v>
      </c>
      <c r="F165" t="inlineStr">
        <is>
          <t>VÄSTERBOTTENS LÄN</t>
        </is>
      </c>
      <c r="G165" t="inlineStr">
        <is>
          <t>VÄNNÄS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46239</v>
      </c>
      <c r="F166" t="inlineStr">
        <is>
          <t>VÄSTERBOTTENS LÄN</t>
        </is>
      </c>
      <c r="G166" t="inlineStr">
        <is>
          <t>VÄNNÄS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46239</v>
      </c>
      <c r="F167" t="inlineStr">
        <is>
          <t>VÄSTERBOTTENS LÄN</t>
        </is>
      </c>
      <c r="G167" t="inlineStr">
        <is>
          <t>VÄNNÄS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46239</v>
      </c>
      <c r="F168" t="inlineStr">
        <is>
          <t>VÄSTERBOTTENS LÄN</t>
        </is>
      </c>
      <c r="G168" t="inlineStr">
        <is>
          <t>VÄNNÄS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61221-2025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46000</v>
      </c>
      <c r="E169" s="1" t="n">
        <v>46239</v>
      </c>
      <c r="F169" t="inlineStr">
        <is>
          <t>VÄSTERBOTTENS LÄN</t>
        </is>
      </c>
      <c r="G169" t="inlineStr">
        <is>
          <t>VÄNNÄS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46239</v>
      </c>
      <c r="F170" t="inlineStr">
        <is>
          <t>VÄSTERBOTTENS LÄN</t>
        </is>
      </c>
      <c r="G170" t="inlineStr">
        <is>
          <t>VÄNNÄS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46239</v>
      </c>
      <c r="F171" t="inlineStr">
        <is>
          <t>VÄSTERBOTTENS LÄN</t>
        </is>
      </c>
      <c r="G171" t="inlineStr">
        <is>
          <t>VÄNNÄS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46239</v>
      </c>
      <c r="F172" t="inlineStr">
        <is>
          <t>VÄSTERBOTTENS LÄN</t>
        </is>
      </c>
      <c r="G172" t="inlineStr">
        <is>
          <t>VÄNNÄS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46239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46239</v>
      </c>
      <c r="F174" t="inlineStr">
        <is>
          <t>VÄSTERBOTTENS LÄN</t>
        </is>
      </c>
      <c r="G174" t="inlineStr">
        <is>
          <t>VÄNNÄS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20228-2023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45055</v>
      </c>
      <c r="E175" s="1" t="n">
        <v>46239</v>
      </c>
      <c r="F175" t="inlineStr">
        <is>
          <t>VÄSTERBOTTENS LÄN</t>
        </is>
      </c>
      <c r="G175" t="inlineStr">
        <is>
          <t>VÄNNÄS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46239</v>
      </c>
      <c r="F176" t="inlineStr">
        <is>
          <t>VÄSTERBOTTENS LÄN</t>
        </is>
      </c>
      <c r="G176" t="inlineStr">
        <is>
          <t>VÄNNÄS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46239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46239</v>
      </c>
      <c r="F178" t="inlineStr">
        <is>
          <t>VÄSTERBOTTENS LÄN</t>
        </is>
      </c>
      <c r="G178" t="inlineStr">
        <is>
          <t>VÄNNÄS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45509</v>
      </c>
      <c r="E179" s="1" t="n">
        <v>46239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46239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46239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46239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21.4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46239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46239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46239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46239</v>
      </c>
      <c r="F186" t="inlineStr">
        <is>
          <t>VÄSTERBOTTENS LÄN</t>
        </is>
      </c>
      <c r="G186" t="inlineStr">
        <is>
          <t>VÄNNÄS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46239</v>
      </c>
      <c r="F187" t="inlineStr">
        <is>
          <t>VÄSTERBOTTENS LÄN</t>
        </is>
      </c>
      <c r="G187" t="inlineStr">
        <is>
          <t>VÄNNÄS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46239</v>
      </c>
      <c r="F188" t="inlineStr">
        <is>
          <t>VÄSTERBOTTENS LÄN</t>
        </is>
      </c>
      <c r="G188" t="inlineStr">
        <is>
          <t>VÄNNÄS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46239</v>
      </c>
      <c r="F189" t="inlineStr">
        <is>
          <t>VÄSTERBOTTENS LÄN</t>
        </is>
      </c>
      <c r="G189" t="inlineStr">
        <is>
          <t>VÄNNÄS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46239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46239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46239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46239</v>
      </c>
      <c r="F193" t="inlineStr">
        <is>
          <t>VÄSTERBOTTENS LÄN</t>
        </is>
      </c>
      <c r="G193" t="inlineStr">
        <is>
          <t>VÄNNÄS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46239</v>
      </c>
      <c r="F194" t="inlineStr">
        <is>
          <t>VÄSTERBOTTENS LÄN</t>
        </is>
      </c>
      <c r="G194" t="inlineStr">
        <is>
          <t>VÄNNÄS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46239</v>
      </c>
      <c r="F195" t="inlineStr">
        <is>
          <t>VÄSTERBOTTENS LÄN</t>
        </is>
      </c>
      <c r="G195" t="inlineStr">
        <is>
          <t>VÄNNÄS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46044</v>
      </c>
      <c r="E196" s="1" t="n">
        <v>46239</v>
      </c>
      <c r="F196" t="inlineStr">
        <is>
          <t>VÄSTERBOTTENS LÄN</t>
        </is>
      </c>
      <c r="G196" t="inlineStr">
        <is>
          <t>VÄNNÄS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46239</v>
      </c>
      <c r="F197" t="inlineStr">
        <is>
          <t>VÄSTERBOTTENS LÄN</t>
        </is>
      </c>
      <c r="G197" t="inlineStr">
        <is>
          <t>VÄNNÄS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46044</v>
      </c>
      <c r="E198" s="1" t="n">
        <v>46239</v>
      </c>
      <c r="F198" t="inlineStr">
        <is>
          <t>VÄSTERBOTTENS LÄN</t>
        </is>
      </c>
      <c r="G198" t="inlineStr">
        <is>
          <t>VÄNNÄS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46239</v>
      </c>
      <c r="F199" t="inlineStr">
        <is>
          <t>VÄSTERBOTTENS LÄN</t>
        </is>
      </c>
      <c r="G199" t="inlineStr">
        <is>
          <t>VÄNNÄS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46239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46239</v>
      </c>
      <c r="F201" t="inlineStr">
        <is>
          <t>VÄSTERBOTTENS LÄN</t>
        </is>
      </c>
      <c r="G201" t="inlineStr">
        <is>
          <t>VÄNNÄS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45356</v>
      </c>
      <c r="E202" s="1" t="n">
        <v>46239</v>
      </c>
      <c r="F202" t="inlineStr">
        <is>
          <t>VÄSTERBOTTENS LÄN</t>
        </is>
      </c>
      <c r="G202" t="inlineStr">
        <is>
          <t>VÄNNÄS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46239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8516-2026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46239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46239</v>
      </c>
      <c r="F205" t="inlineStr">
        <is>
          <t>VÄSTERBOTTENS LÄN</t>
        </is>
      </c>
      <c r="G205" t="inlineStr">
        <is>
          <t>VÄNNÄS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46239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46239</v>
      </c>
      <c r="F207" t="inlineStr">
        <is>
          <t>VÄSTERBOTTENS LÄN</t>
        </is>
      </c>
      <c r="G207" t="inlineStr">
        <is>
          <t>VÄNNÄS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46239</v>
      </c>
      <c r="F208" t="inlineStr">
        <is>
          <t>VÄSTERBOTTENS LÄN</t>
        </is>
      </c>
      <c r="G208" t="inlineStr">
        <is>
          <t>VÄNNÄS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46239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46239</v>
      </c>
      <c r="F210" t="inlineStr">
        <is>
          <t>VÄSTERBOTTENS LÄN</t>
        </is>
      </c>
      <c r="G210" t="inlineStr">
        <is>
          <t>VÄNNÄS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46239</v>
      </c>
      <c r="F211" t="inlineStr">
        <is>
          <t>VÄSTERBOTTENS LÄN</t>
        </is>
      </c>
      <c r="G211" t="inlineStr">
        <is>
          <t>VÄNNÄS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46239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46239</v>
      </c>
      <c r="F213" t="inlineStr">
        <is>
          <t>VÄSTERBOTTENS LÄN</t>
        </is>
      </c>
      <c r="G213" t="inlineStr">
        <is>
          <t>VÄNNÄS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46239</v>
      </c>
      <c r="F214" t="inlineStr">
        <is>
          <t>VÄSTERBOTTENS LÄN</t>
        </is>
      </c>
      <c r="G214" t="inlineStr">
        <is>
          <t>VÄNNÄS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45118</v>
      </c>
      <c r="E215" s="1" t="n">
        <v>46239</v>
      </c>
      <c r="F215" t="inlineStr">
        <is>
          <t>VÄSTERBOTTENS LÄN</t>
        </is>
      </c>
      <c r="G215" t="inlineStr">
        <is>
          <t>VÄNNÄS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45127</v>
      </c>
      <c r="E216" s="1" t="n">
        <v>46239</v>
      </c>
      <c r="F216" t="inlineStr">
        <is>
          <t>VÄSTERBOTTENS LÄN</t>
        </is>
      </c>
      <c r="G216" t="inlineStr">
        <is>
          <t>VÄNNÄS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46239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45509</v>
      </c>
      <c r="E218" s="1" t="n">
        <v>46239</v>
      </c>
      <c r="F218" t="inlineStr">
        <is>
          <t>VÄSTERBOTTENS LÄN</t>
        </is>
      </c>
      <c r="G218" t="inlineStr">
        <is>
          <t>VÄNNÄS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46239</v>
      </c>
      <c r="F219" t="inlineStr">
        <is>
          <t>VÄSTERBOTTENS LÄN</t>
        </is>
      </c>
      <c r="G219" t="inlineStr">
        <is>
          <t>VÄNNÄS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46239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46239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46239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45439</v>
      </c>
      <c r="E223" s="1" t="n">
        <v>46239</v>
      </c>
      <c r="F223" t="inlineStr">
        <is>
          <t>VÄSTERBOTTENS LÄN</t>
        </is>
      </c>
      <c r="G223" t="inlineStr">
        <is>
          <t>VÄNNÄS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46239</v>
      </c>
      <c r="F224" t="inlineStr">
        <is>
          <t>VÄSTERBOTTENS LÄN</t>
        </is>
      </c>
      <c r="G224" t="inlineStr">
        <is>
          <t>VÄNNÄS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46239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46239</v>
      </c>
      <c r="F226" t="inlineStr">
        <is>
          <t>VÄSTERBOTTENS LÄN</t>
        </is>
      </c>
      <c r="G226" t="inlineStr">
        <is>
          <t>VÄNNÄS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46239</v>
      </c>
      <c r="F227" t="inlineStr">
        <is>
          <t>VÄSTERBOTTENS LÄN</t>
        </is>
      </c>
      <c r="G227" t="inlineStr">
        <is>
          <t>VÄNNÄS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46239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46239</v>
      </c>
      <c r="F229" t="inlineStr">
        <is>
          <t>VÄSTERBOTTENS LÄN</t>
        </is>
      </c>
      <c r="G229" t="inlineStr">
        <is>
          <t>VÄNNÄS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46239</v>
      </c>
      <c r="F230" t="inlineStr">
        <is>
          <t>VÄSTERBOTTENS LÄN</t>
        </is>
      </c>
      <c r="G230" t="inlineStr">
        <is>
          <t>VÄNNÄS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46239</v>
      </c>
      <c r="F231" t="inlineStr">
        <is>
          <t>VÄSTERBOTTENS LÄN</t>
        </is>
      </c>
      <c r="G231" t="inlineStr">
        <is>
          <t>VÄNNÄS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46239</v>
      </c>
      <c r="F232" t="inlineStr">
        <is>
          <t>VÄSTERBOTTENS LÄN</t>
        </is>
      </c>
      <c r="G232" t="inlineStr">
        <is>
          <t>VÄNNÄS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44581</v>
      </c>
      <c r="E233" s="1" t="n">
        <v>46239</v>
      </c>
      <c r="F233" t="inlineStr">
        <is>
          <t>VÄSTERBOTTENS LÄN</t>
        </is>
      </c>
      <c r="G233" t="inlineStr">
        <is>
          <t>VÄNNÄS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46239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46239</v>
      </c>
      <c r="F235" t="inlineStr">
        <is>
          <t>VÄSTERBOTTENS LÄN</t>
        </is>
      </c>
      <c r="G235" t="inlineStr">
        <is>
          <t>VÄNNÄS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46239</v>
      </c>
      <c r="F236" t="inlineStr">
        <is>
          <t>VÄSTERBOTTENS LÄN</t>
        </is>
      </c>
      <c r="G236" t="inlineStr">
        <is>
          <t>VÄNNÄS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46239</v>
      </c>
      <c r="F237" t="inlineStr">
        <is>
          <t>VÄSTERBOTTENS LÄN</t>
        </is>
      </c>
      <c r="G237" t="inlineStr">
        <is>
          <t>VÄNNÄS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47771-2022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44854</v>
      </c>
      <c r="E238" s="1" t="n">
        <v>46239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46239</v>
      </c>
      <c r="F239" t="inlineStr">
        <is>
          <t>VÄSTERBOTTENS LÄN</t>
        </is>
      </c>
      <c r="G239" t="inlineStr">
        <is>
          <t>VÄNNÄS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46239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46239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46239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46239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46239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46239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2026-08-05T20:35:24Z</dcterms:created>
  <dcterms:modified xmlns:dcterms="http://purl.org/dc/terms/" xmlns:xsi="http://www.w3.org/2001/XMLSchema-instance" xsi:type="dcterms:W3CDTF">2026-08-05T20:35:24Z</dcterms:modified>
</cp:coreProperties>
</file>