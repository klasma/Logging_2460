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45844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45844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24173-2025</t>
        </is>
      </c>
      <c r="B4" s="1" t="n">
        <v>45796</v>
      </c>
      <c r="C4" s="1" t="n">
        <v>45844</v>
      </c>
      <c r="D4" t="inlineStr">
        <is>
          <t>VÄSTERBOTTENS LÄN</t>
        </is>
      </c>
      <c r="E4" t="inlineStr">
        <is>
          <t>VÄNNÄS</t>
        </is>
      </c>
      <c r="G4" t="n">
        <v>10.5</v>
      </c>
      <c r="H4" t="n">
        <v>2</v>
      </c>
      <c r="I4" t="n">
        <v>0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9</v>
      </c>
      <c r="R4" s="2" t="inlineStr">
        <is>
          <t>Blackticka
Rynkskinn
Ulltickeporing
Gammelgransskål
Garnlav
Granticka
Järpe
Tretåig hackspett
Ullticka</t>
        </is>
      </c>
      <c r="S4">
        <f>HYPERLINK("https://klasma.github.io/Logging_242460/artfynd/A 24173-2025 artfynd.xlsx", "A 24173-2025")</f>
        <v/>
      </c>
      <c r="T4">
        <f>HYPERLINK("https://klasma.github.io/Logging_242460/kartor/A 24173-2025 karta.png", "A 24173-2025")</f>
        <v/>
      </c>
      <c r="V4">
        <f>HYPERLINK("https://klasma.github.io/Logging_242460/klagomål/A 24173-2025 FSC-klagomål.docx", "A 24173-2025")</f>
        <v/>
      </c>
      <c r="W4">
        <f>HYPERLINK("https://klasma.github.io/Logging_242460/klagomålsmail/A 24173-2025 FSC-klagomål mail.docx", "A 24173-2025")</f>
        <v/>
      </c>
      <c r="X4">
        <f>HYPERLINK("https://klasma.github.io/Logging_242460/tillsyn/A 24173-2025 tillsynsbegäran.docx", "A 24173-2025")</f>
        <v/>
      </c>
      <c r="Y4">
        <f>HYPERLINK("https://klasma.github.io/Logging_242460/tillsynsmail/A 24173-2025 tillsynsbegäran mail.docx", "A 24173-2025")</f>
        <v/>
      </c>
      <c r="Z4">
        <f>HYPERLINK("https://klasma.github.io/Logging_242460/fåglar/A 24173-2025 prioriterade fågelarter.docx", "A 24173-2025")</f>
        <v/>
      </c>
    </row>
    <row r="5" ht="15" customHeight="1">
      <c r="A5" t="inlineStr">
        <is>
          <t>A 26671-2025</t>
        </is>
      </c>
      <c r="B5" s="1" t="n">
        <v>45810</v>
      </c>
      <c r="C5" s="1" t="n">
        <v>45844</v>
      </c>
      <c r="D5" t="inlineStr">
        <is>
          <t>VÄSTERBOTTENS LÄN</t>
        </is>
      </c>
      <c r="E5" t="inlineStr">
        <is>
          <t>VÄNNÄS</t>
        </is>
      </c>
      <c r="G5" t="n">
        <v>6.6</v>
      </c>
      <c r="H5" t="n">
        <v>5</v>
      </c>
      <c r="I5" t="n">
        <v>1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9</v>
      </c>
      <c r="R5" s="2" t="inlineStr">
        <is>
          <t>Knärot
Duvhök
Granticka
Gränsticka
Lunglav
Spillkråka
Svartvit flugsnappare
Tretåig hackspett
Vedticka</t>
        </is>
      </c>
      <c r="S5">
        <f>HYPERLINK("https://klasma.github.io/Logging_242460/artfynd/A 26671-2025 artfynd.xlsx", "A 26671-2025")</f>
        <v/>
      </c>
      <c r="T5">
        <f>HYPERLINK("https://klasma.github.io/Logging_242460/kartor/A 26671-2025 karta.png", "A 26671-2025")</f>
        <v/>
      </c>
      <c r="U5">
        <f>HYPERLINK("https://klasma.github.io/Logging_242460/knärot/A 26671-2025 karta knärot.png", "A 26671-2025")</f>
        <v/>
      </c>
      <c r="V5">
        <f>HYPERLINK("https://klasma.github.io/Logging_242460/klagomål/A 26671-2025 FSC-klagomål.docx", "A 26671-2025")</f>
        <v/>
      </c>
      <c r="W5">
        <f>HYPERLINK("https://klasma.github.io/Logging_242460/klagomålsmail/A 26671-2025 FSC-klagomål mail.docx", "A 26671-2025")</f>
        <v/>
      </c>
      <c r="X5">
        <f>HYPERLINK("https://klasma.github.io/Logging_242460/tillsyn/A 26671-2025 tillsynsbegäran.docx", "A 26671-2025")</f>
        <v/>
      </c>
      <c r="Y5">
        <f>HYPERLINK("https://klasma.github.io/Logging_242460/tillsynsmail/A 26671-2025 tillsynsbegäran mail.docx", "A 26671-2025")</f>
        <v/>
      </c>
      <c r="Z5">
        <f>HYPERLINK("https://klasma.github.io/Logging_242460/fåglar/A 26671-2025 prioriterade fågelarter.docx", "A 26671-2025")</f>
        <v/>
      </c>
    </row>
    <row r="6" ht="15" customHeight="1">
      <c r="A6" t="inlineStr">
        <is>
          <t>A 32165-2019</t>
        </is>
      </c>
      <c r="B6" s="1" t="n">
        <v>43643</v>
      </c>
      <c r="C6" s="1" t="n">
        <v>45844</v>
      </c>
      <c r="D6" t="inlineStr">
        <is>
          <t>VÄSTERBOTTENS LÄN</t>
        </is>
      </c>
      <c r="E6" t="inlineStr">
        <is>
          <t>VÄNNÄS</t>
        </is>
      </c>
      <c r="G6" t="n">
        <v>4.7</v>
      </c>
      <c r="H6" t="n">
        <v>5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Tretåig hackspett
Korallrot
Svavelriska
Tibast
Enkelbeckasin
Blåsippa
Revlummer</t>
        </is>
      </c>
      <c r="S6">
        <f>HYPERLINK("https://klasma.github.io/Logging_2460/artfynd/A 32165-2019 artfynd.xlsx", "A 32165-2019")</f>
        <v/>
      </c>
      <c r="T6">
        <f>HYPERLINK("https://klasma.github.io/Logging_2460/kartor/A 32165-2019 karta.png", "A 32165-2019")</f>
        <v/>
      </c>
      <c r="U6">
        <f>HYPERLINK("https://klasma.github.io/Logging_2460/knärot/A 32165-2019 karta knärot.png", "A 32165-2019")</f>
        <v/>
      </c>
      <c r="V6">
        <f>HYPERLINK("https://klasma.github.io/Logging_2460/klagomål/A 32165-2019 FSC-klagomål.docx", "A 32165-2019")</f>
        <v/>
      </c>
      <c r="W6">
        <f>HYPERLINK("https://klasma.github.io/Logging_2460/klagomålsmail/A 32165-2019 FSC-klagomål mail.docx", "A 32165-2019")</f>
        <v/>
      </c>
      <c r="X6">
        <f>HYPERLINK("https://klasma.github.io/Logging_2460/tillsyn/A 32165-2019 tillsynsbegäran.docx", "A 32165-2019")</f>
        <v/>
      </c>
      <c r="Y6">
        <f>HYPERLINK("https://klasma.github.io/Logging_2460/tillsynsmail/A 32165-2019 tillsynsbegäran mail.docx", "A 32165-2019")</f>
        <v/>
      </c>
      <c r="Z6">
        <f>HYPERLINK("https://klasma.github.io/Logging_2460/fåglar/A 32165-2019 prioriterade fågelarter.docx", "A 32165-2019")</f>
        <v/>
      </c>
    </row>
    <row r="7" ht="15" customHeight="1">
      <c r="A7" t="inlineStr">
        <is>
          <t>A 26207-2019</t>
        </is>
      </c>
      <c r="B7" s="1" t="n">
        <v>43609</v>
      </c>
      <c r="C7" s="1" t="n">
        <v>45844</v>
      </c>
      <c r="D7" t="inlineStr">
        <is>
          <t>VÄSTERBOTTENS LÄN</t>
        </is>
      </c>
      <c r="E7" t="inlineStr">
        <is>
          <t>VÄNNÄS</t>
        </is>
      </c>
      <c r="G7" t="n">
        <v>16</v>
      </c>
      <c r="H7" t="n">
        <v>0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Garnlav
Ullticka
Violettgrå tagellav
Bårdlav
Stuplav</t>
        </is>
      </c>
      <c r="S7">
        <f>HYPERLINK("https://klasma.github.io/Logging_2460/artfynd/A 26207-2019 artfynd.xlsx", "A 26207-2019")</f>
        <v/>
      </c>
      <c r="T7">
        <f>HYPERLINK("https://klasma.github.io/Logging_2460/kartor/A 26207-2019 karta.png", "A 26207-2019")</f>
        <v/>
      </c>
      <c r="V7">
        <f>HYPERLINK("https://klasma.github.io/Logging_2460/klagomål/A 26207-2019 FSC-klagomål.docx", "A 26207-2019")</f>
        <v/>
      </c>
      <c r="W7">
        <f>HYPERLINK("https://klasma.github.io/Logging_2460/klagomålsmail/A 26207-2019 FSC-klagomål mail.docx", "A 26207-2019")</f>
        <v/>
      </c>
      <c r="X7">
        <f>HYPERLINK("https://klasma.github.io/Logging_2460/tillsyn/A 26207-2019 tillsynsbegäran.docx", "A 26207-2019")</f>
        <v/>
      </c>
      <c r="Y7">
        <f>HYPERLINK("https://klasma.github.io/Logging_2460/tillsynsmail/A 26207-2019 tillsynsbegäran mail.docx", "A 26207-2019")</f>
        <v/>
      </c>
    </row>
    <row r="8" ht="15" customHeight="1">
      <c r="A8" t="inlineStr">
        <is>
          <t>A 4479-2023</t>
        </is>
      </c>
      <c r="B8" s="1" t="n">
        <v>44956</v>
      </c>
      <c r="C8" s="1" t="n">
        <v>45844</v>
      </c>
      <c r="D8" t="inlineStr">
        <is>
          <t>VÄSTERBOTTENS LÄN</t>
        </is>
      </c>
      <c r="E8" t="inlineStr">
        <is>
          <t>VÄNNÄS</t>
        </is>
      </c>
      <c r="G8" t="n">
        <v>6.2</v>
      </c>
      <c r="H8" t="n">
        <v>4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Långskägg
Svartvit flugsnappare
Tretåig hackspett
Plattlummer
Ögonpyrola</t>
        </is>
      </c>
      <c r="S8">
        <f>HYPERLINK("https://klasma.github.io/Logging_2460/artfynd/A 4479-2023 artfynd.xlsx", "A 4479-2023")</f>
        <v/>
      </c>
      <c r="T8">
        <f>HYPERLINK("https://klasma.github.io/Logging_2460/kartor/A 4479-2023 karta.png", "A 4479-2023")</f>
        <v/>
      </c>
      <c r="V8">
        <f>HYPERLINK("https://klasma.github.io/Logging_2460/klagomål/A 4479-2023 FSC-klagomål.docx", "A 4479-2023")</f>
        <v/>
      </c>
      <c r="W8">
        <f>HYPERLINK("https://klasma.github.io/Logging_2460/klagomålsmail/A 4479-2023 FSC-klagomål mail.docx", "A 4479-2023")</f>
        <v/>
      </c>
      <c r="X8">
        <f>HYPERLINK("https://klasma.github.io/Logging_2460/tillsyn/A 4479-2023 tillsynsbegäran.docx", "A 4479-2023")</f>
        <v/>
      </c>
      <c r="Y8">
        <f>HYPERLINK("https://klasma.github.io/Logging_2460/tillsynsmail/A 4479-2023 tillsynsbegäran mail.docx", "A 4479-2023")</f>
        <v/>
      </c>
      <c r="Z8">
        <f>HYPERLINK("https://klasma.github.io/Logging_2460/fåglar/A 4479-2023 prioriterade fågelarter.docx", "A 4479-2023")</f>
        <v/>
      </c>
    </row>
    <row r="9" ht="15" customHeight="1">
      <c r="A9" t="inlineStr">
        <is>
          <t>A 19776-2025</t>
        </is>
      </c>
      <c r="B9" s="1" t="n">
        <v>45771</v>
      </c>
      <c r="C9" s="1" t="n">
        <v>45844</v>
      </c>
      <c r="D9" t="inlineStr">
        <is>
          <t>VÄSTERBOTTENS LÄN</t>
        </is>
      </c>
      <c r="E9" t="inlineStr">
        <is>
          <t>VÄNNÄS</t>
        </is>
      </c>
      <c r="F9" t="inlineStr">
        <is>
          <t>Holmen skog AB</t>
        </is>
      </c>
      <c r="G9" t="n">
        <v>1.3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Spillkråka
Gullgröppa
Vedticka</t>
        </is>
      </c>
      <c r="S9">
        <f>HYPERLINK("https://klasma.github.io/Logging_242460/artfynd/A 19776-2025 artfynd.xlsx", "A 19776-2025")</f>
        <v/>
      </c>
      <c r="T9">
        <f>HYPERLINK("https://klasma.github.io/Logging_242460/kartor/A 19776-2025 karta.png", "A 19776-2025")</f>
        <v/>
      </c>
      <c r="V9">
        <f>HYPERLINK("https://klasma.github.io/Logging_242460/klagomål/A 19776-2025 FSC-klagomål.docx", "A 19776-2025")</f>
        <v/>
      </c>
      <c r="W9">
        <f>HYPERLINK("https://klasma.github.io/Logging_242460/klagomålsmail/A 19776-2025 FSC-klagomål mail.docx", "A 19776-2025")</f>
        <v/>
      </c>
      <c r="X9">
        <f>HYPERLINK("https://klasma.github.io/Logging_242460/tillsyn/A 19776-2025 tillsynsbegäran.docx", "A 19776-2025")</f>
        <v/>
      </c>
      <c r="Y9">
        <f>HYPERLINK("https://klasma.github.io/Logging_242460/tillsynsmail/A 19776-2025 tillsynsbegäran mail.docx", "A 19776-2025")</f>
        <v/>
      </c>
      <c r="Z9">
        <f>HYPERLINK("https://klasma.github.io/Logging_242460/fåglar/A 19776-2025 prioriterade fågelarter.docx", "A 19776-2025")</f>
        <v/>
      </c>
    </row>
    <row r="10" ht="15" customHeight="1">
      <c r="A10" t="inlineStr">
        <is>
          <t>A 21711-2025</t>
        </is>
      </c>
      <c r="B10" s="1" t="n">
        <v>45783</v>
      </c>
      <c r="C10" s="1" t="n">
        <v>45844</v>
      </c>
      <c r="D10" t="inlineStr">
        <is>
          <t>VÄSTERBOTTENS LÄN</t>
        </is>
      </c>
      <c r="E10" t="inlineStr">
        <is>
          <t>VÄNNÄS</t>
        </is>
      </c>
      <c r="F10" t="inlineStr">
        <is>
          <t>Holmen skog AB</t>
        </is>
      </c>
      <c r="G10" t="n">
        <v>3.7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Spillkråka
Ullticka
Vedticka</t>
        </is>
      </c>
      <c r="S10">
        <f>HYPERLINK("https://klasma.github.io/Logging_242460/artfynd/A 21711-2025 artfynd.xlsx", "A 21711-2025")</f>
        <v/>
      </c>
      <c r="T10">
        <f>HYPERLINK("https://klasma.github.io/Logging_242460/kartor/A 21711-2025 karta.png", "A 21711-2025")</f>
        <v/>
      </c>
      <c r="V10">
        <f>HYPERLINK("https://klasma.github.io/Logging_242460/klagomål/A 21711-2025 FSC-klagomål.docx", "A 21711-2025")</f>
        <v/>
      </c>
      <c r="W10">
        <f>HYPERLINK("https://klasma.github.io/Logging_242460/klagomålsmail/A 21711-2025 FSC-klagomål mail.docx", "A 21711-2025")</f>
        <v/>
      </c>
      <c r="X10">
        <f>HYPERLINK("https://klasma.github.io/Logging_242460/tillsyn/A 21711-2025 tillsynsbegäran.docx", "A 21711-2025")</f>
        <v/>
      </c>
      <c r="Y10">
        <f>HYPERLINK("https://klasma.github.io/Logging_242460/tillsynsmail/A 21711-2025 tillsynsbegäran mail.docx", "A 21711-2025")</f>
        <v/>
      </c>
      <c r="Z10">
        <f>HYPERLINK("https://klasma.github.io/Logging_242460/fåglar/A 21711-2025 prioriterade fågelarter.docx", "A 21711-2025")</f>
        <v/>
      </c>
    </row>
    <row r="11" ht="15" customHeight="1">
      <c r="A11" t="inlineStr">
        <is>
          <t>A 4450-2025</t>
        </is>
      </c>
      <c r="B11" s="1" t="n">
        <v>45686</v>
      </c>
      <c r="C11" s="1" t="n">
        <v>45844</v>
      </c>
      <c r="D11" t="inlineStr">
        <is>
          <t>VÄSTERBOTTENS LÄN</t>
        </is>
      </c>
      <c r="E11" t="inlineStr">
        <is>
          <t>VÄNNÄS</t>
        </is>
      </c>
      <c r="G11" t="n">
        <v>6.7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Talltita
Tjäder</t>
        </is>
      </c>
      <c r="S11">
        <f>HYPERLINK("https://klasma.github.io/Logging_2460/artfynd/A 4450-2025 artfynd.xlsx", "A 4450-2025")</f>
        <v/>
      </c>
      <c r="T11">
        <f>HYPERLINK("https://klasma.github.io/Logging_2460/kartor/A 4450-2025 karta.png", "A 4450-2025")</f>
        <v/>
      </c>
      <c r="V11">
        <f>HYPERLINK("https://klasma.github.io/Logging_2460/klagomål/A 4450-2025 FSC-klagomål.docx", "A 4450-2025")</f>
        <v/>
      </c>
      <c r="W11">
        <f>HYPERLINK("https://klasma.github.io/Logging_2460/klagomålsmail/A 4450-2025 FSC-klagomål mail.docx", "A 4450-2025")</f>
        <v/>
      </c>
      <c r="X11">
        <f>HYPERLINK("https://klasma.github.io/Logging_2460/tillsyn/A 4450-2025 tillsynsbegäran.docx", "A 4450-2025")</f>
        <v/>
      </c>
      <c r="Y11">
        <f>HYPERLINK("https://klasma.github.io/Logging_2460/tillsynsmail/A 4450-2025 tillsynsbegäran mail.docx", "A 4450-2025")</f>
        <v/>
      </c>
      <c r="Z11">
        <f>HYPERLINK("https://klasma.github.io/Logging_2460/fåglar/A 4450-2025 prioriterade fågelarter.docx", "A 4450-2025")</f>
        <v/>
      </c>
    </row>
    <row r="12" ht="15" customHeight="1">
      <c r="A12" t="inlineStr">
        <is>
          <t>A 22648-2024</t>
        </is>
      </c>
      <c r="B12" s="1" t="n">
        <v>45447</v>
      </c>
      <c r="C12" s="1" t="n">
        <v>45844</v>
      </c>
      <c r="D12" t="inlineStr">
        <is>
          <t>VÄSTERBOTTENS LÄN</t>
        </is>
      </c>
      <c r="E12" t="inlineStr">
        <is>
          <t>VÄNNÄS</t>
        </is>
      </c>
      <c r="F12" t="inlineStr">
        <is>
          <t>Holmen skog AB</t>
        </is>
      </c>
      <c r="G12" t="n">
        <v>5.5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Spindelblomster</t>
        </is>
      </c>
      <c r="S12">
        <f>HYPERLINK("https://klasma.github.io/Logging_2460/artfynd/A 22648-2024 artfynd.xlsx", "A 22648-2024")</f>
        <v/>
      </c>
      <c r="T12">
        <f>HYPERLINK("https://klasma.github.io/Logging_2460/kartor/A 22648-2024 karta.png", "A 22648-2024")</f>
        <v/>
      </c>
      <c r="V12">
        <f>HYPERLINK("https://klasma.github.io/Logging_2460/klagomål/A 22648-2024 FSC-klagomål.docx", "A 22648-2024")</f>
        <v/>
      </c>
      <c r="W12">
        <f>HYPERLINK("https://klasma.github.io/Logging_2460/klagomålsmail/A 22648-2024 FSC-klagomål mail.docx", "A 22648-2024")</f>
        <v/>
      </c>
      <c r="X12">
        <f>HYPERLINK("https://klasma.github.io/Logging_2460/tillsyn/A 22648-2024 tillsynsbegäran.docx", "A 22648-2024")</f>
        <v/>
      </c>
      <c r="Y12">
        <f>HYPERLINK("https://klasma.github.io/Logging_2460/tillsynsmail/A 22648-2024 tillsynsbegäran mail.docx", "A 22648-2024")</f>
        <v/>
      </c>
      <c r="Z12">
        <f>HYPERLINK("https://klasma.github.io/Logging_2460/fåglar/A 22648-2024 prioriterade fågelarter.docx", "A 22648-2024")</f>
        <v/>
      </c>
    </row>
    <row r="13" ht="15" customHeight="1">
      <c r="A13" t="inlineStr">
        <is>
          <t>A 7842-2020</t>
        </is>
      </c>
      <c r="B13" s="1" t="n">
        <v>43873</v>
      </c>
      <c r="C13" s="1" t="n">
        <v>45844</v>
      </c>
      <c r="D13" t="inlineStr">
        <is>
          <t>VÄSTERBOTTENS LÄN</t>
        </is>
      </c>
      <c r="E13" t="inlineStr">
        <is>
          <t>VÄNNÄS</t>
        </is>
      </c>
      <c r="G13" t="n">
        <v>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HYPERLINK("https://klasma.github.io/Logging_2460/artfynd/A 7842-2020 artfynd.xlsx", "A 7842-2020")</f>
        <v/>
      </c>
      <c r="T13">
        <f>HYPERLINK("https://klasma.github.io/Logging_2460/kartor/A 7842-2020 karta.png", "A 7842-2020")</f>
        <v/>
      </c>
      <c r="V13">
        <f>HYPERLINK("https://klasma.github.io/Logging_2460/klagomål/A 7842-2020 FSC-klagomål.docx", "A 7842-2020")</f>
        <v/>
      </c>
      <c r="W13">
        <f>HYPERLINK("https://klasma.github.io/Logging_2460/klagomålsmail/A 7842-2020 FSC-klagomål mail.docx", "A 7842-2020")</f>
        <v/>
      </c>
      <c r="X13">
        <f>HYPERLINK("https://klasma.github.io/Logging_2460/tillsyn/A 7842-2020 tillsynsbegäran.docx", "A 7842-2020")</f>
        <v/>
      </c>
      <c r="Y13">
        <f>HYPERLINK("https://klasma.github.io/Logging_2460/tillsynsmail/A 7842-2020 tillsynsbegäran mail.docx", "A 7842-2020")</f>
        <v/>
      </c>
    </row>
    <row r="14" ht="15" customHeight="1">
      <c r="A14" t="inlineStr">
        <is>
          <t>A 13243-2020</t>
        </is>
      </c>
      <c r="B14" s="1" t="n">
        <v>43901</v>
      </c>
      <c r="C14" s="1" t="n">
        <v>45844</v>
      </c>
      <c r="D14" t="inlineStr">
        <is>
          <t>VÄSTERBOTTENS LÄN</t>
        </is>
      </c>
      <c r="E14" t="inlineStr">
        <is>
          <t>VÄNNÄS</t>
        </is>
      </c>
      <c r="G14" t="n">
        <v>7.5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Ullticka</t>
        </is>
      </c>
      <c r="S14">
        <f>HYPERLINK("https://klasma.github.io/Logging_2460/artfynd/A 13243-2020 artfynd.xlsx", "A 13243-2020")</f>
        <v/>
      </c>
      <c r="T14">
        <f>HYPERLINK("https://klasma.github.io/Logging_2460/kartor/A 13243-2020 karta.png", "A 13243-2020")</f>
        <v/>
      </c>
      <c r="V14">
        <f>HYPERLINK("https://klasma.github.io/Logging_2460/klagomål/A 13243-2020 FSC-klagomål.docx", "A 13243-2020")</f>
        <v/>
      </c>
      <c r="W14">
        <f>HYPERLINK("https://klasma.github.io/Logging_2460/klagomålsmail/A 13243-2020 FSC-klagomål mail.docx", "A 13243-2020")</f>
        <v/>
      </c>
      <c r="X14">
        <f>HYPERLINK("https://klasma.github.io/Logging_2460/tillsyn/A 13243-2020 tillsynsbegäran.docx", "A 13243-2020")</f>
        <v/>
      </c>
      <c r="Y14">
        <f>HYPERLINK("https://klasma.github.io/Logging_2460/tillsynsmail/A 13243-2020 tillsynsbegäran mail.docx", "A 13243-2020")</f>
        <v/>
      </c>
    </row>
    <row r="15" ht="15" customHeight="1">
      <c r="A15" t="inlineStr">
        <is>
          <t>A 19687-2020</t>
        </is>
      </c>
      <c r="B15" s="1" t="n">
        <v>43941</v>
      </c>
      <c r="C15" s="1" t="n">
        <v>45844</v>
      </c>
      <c r="D15" t="inlineStr">
        <is>
          <t>VÄSTERBOTTENS LÄN</t>
        </is>
      </c>
      <c r="E15" t="inlineStr">
        <is>
          <t>VÄNNÄS</t>
        </is>
      </c>
      <c r="G15" t="n">
        <v>5.8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HYPERLINK("https://klasma.github.io/Logging_2460/artfynd/A 19687-2020 artfynd.xlsx", "A 19687-2020")</f>
        <v/>
      </c>
      <c r="T15">
        <f>HYPERLINK("https://klasma.github.io/Logging_2460/kartor/A 19687-2020 karta.png", "A 19687-2020")</f>
        <v/>
      </c>
      <c r="V15">
        <f>HYPERLINK("https://klasma.github.io/Logging_2460/klagomål/A 19687-2020 FSC-klagomål.docx", "A 19687-2020")</f>
        <v/>
      </c>
      <c r="W15">
        <f>HYPERLINK("https://klasma.github.io/Logging_2460/klagomålsmail/A 19687-2020 FSC-klagomål mail.docx", "A 19687-2020")</f>
        <v/>
      </c>
      <c r="X15">
        <f>HYPERLINK("https://klasma.github.io/Logging_2460/tillsyn/A 19687-2020 tillsynsbegäran.docx", "A 19687-2020")</f>
        <v/>
      </c>
      <c r="Y15">
        <f>HYPERLINK("https://klasma.github.io/Logging_2460/tillsynsmail/A 19687-2020 tillsynsbegäran mail.docx", "A 19687-2020")</f>
        <v/>
      </c>
      <c r="Z15">
        <f>HYPERLINK("https://klasma.github.io/Logging_2460/fåglar/A 19687-2020 prioriterade fågelarter.docx", "A 19687-2020")</f>
        <v/>
      </c>
    </row>
    <row r="16" ht="15" customHeight="1">
      <c r="A16" t="inlineStr">
        <is>
          <t>A 47089-2022</t>
        </is>
      </c>
      <c r="B16" s="1" t="n">
        <v>44852</v>
      </c>
      <c r="C16" s="1" t="n">
        <v>45844</v>
      </c>
      <c r="D16" t="inlineStr">
        <is>
          <t>VÄSTERBOTTENS LÄN</t>
        </is>
      </c>
      <c r="E16" t="inlineStr">
        <is>
          <t>VÄNNÄS</t>
        </is>
      </c>
      <c r="F16" t="inlineStr">
        <is>
          <t>Holmen skog AB</t>
        </is>
      </c>
      <c r="G16" t="n">
        <v>9.199999999999999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Lappuggla</t>
        </is>
      </c>
      <c r="S16">
        <f>HYPERLINK("https://klasma.github.io/Logging_2460/artfynd/A 47089-2022 artfynd.xlsx", "A 47089-2022")</f>
        <v/>
      </c>
      <c r="T16">
        <f>HYPERLINK("https://klasma.github.io/Logging_2460/kartor/A 47089-2022 karta.png", "A 47089-2022")</f>
        <v/>
      </c>
      <c r="V16">
        <f>HYPERLINK("https://klasma.github.io/Logging_2460/klagomål/A 47089-2022 FSC-klagomål.docx", "A 47089-2022")</f>
        <v/>
      </c>
      <c r="W16">
        <f>HYPERLINK("https://klasma.github.io/Logging_2460/klagomålsmail/A 47089-2022 FSC-klagomål mail.docx", "A 47089-2022")</f>
        <v/>
      </c>
      <c r="X16">
        <f>HYPERLINK("https://klasma.github.io/Logging_2460/tillsyn/A 47089-2022 tillsynsbegäran.docx", "A 47089-2022")</f>
        <v/>
      </c>
      <c r="Y16">
        <f>HYPERLINK("https://klasma.github.io/Logging_2460/tillsynsmail/A 47089-2022 tillsynsbegäran mail.docx", "A 47089-2022")</f>
        <v/>
      </c>
      <c r="Z16">
        <f>HYPERLINK("https://klasma.github.io/Logging_2460/fåglar/A 47089-2022 prioriterade fågelarter.docx", "A 47089-2022")</f>
        <v/>
      </c>
    </row>
    <row r="17" ht="15" customHeight="1">
      <c r="A17" t="inlineStr">
        <is>
          <t>A 59480-2022</t>
        </is>
      </c>
      <c r="B17" s="1" t="n">
        <v>44907</v>
      </c>
      <c r="C17" s="1" t="n">
        <v>45844</v>
      </c>
      <c r="D17" t="inlineStr">
        <is>
          <t>VÄSTERBOTTENS LÄN</t>
        </is>
      </c>
      <c r="E17" t="inlineStr">
        <is>
          <t>VÄNNÄS</t>
        </is>
      </c>
      <c r="G17" t="n">
        <v>0.6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HYPERLINK("https://klasma.github.io/Logging_2460/artfynd/A 59480-2022 artfynd.xlsx", "A 59480-2022")</f>
        <v/>
      </c>
      <c r="T17">
        <f>HYPERLINK("https://klasma.github.io/Logging_2460/kartor/A 59480-2022 karta.png", "A 59480-2022")</f>
        <v/>
      </c>
      <c r="V17">
        <f>HYPERLINK("https://klasma.github.io/Logging_2460/klagomål/A 59480-2022 FSC-klagomål.docx", "A 59480-2022")</f>
        <v/>
      </c>
      <c r="W17">
        <f>HYPERLINK("https://klasma.github.io/Logging_2460/klagomålsmail/A 59480-2022 FSC-klagomål mail.docx", "A 59480-2022")</f>
        <v/>
      </c>
      <c r="X17">
        <f>HYPERLINK("https://klasma.github.io/Logging_2460/tillsyn/A 59480-2022 tillsynsbegäran.docx", "A 59480-2022")</f>
        <v/>
      </c>
      <c r="Y17">
        <f>HYPERLINK("https://klasma.github.io/Logging_2460/tillsynsmail/A 59480-2022 tillsynsbegäran mail.docx", "A 59480-2022")</f>
        <v/>
      </c>
    </row>
    <row r="18" ht="15" customHeight="1">
      <c r="A18" t="inlineStr">
        <is>
          <t>A 61508-2022</t>
        </is>
      </c>
      <c r="B18" s="1" t="n">
        <v>44916</v>
      </c>
      <c r="C18" s="1" t="n">
        <v>45844</v>
      </c>
      <c r="D18" t="inlineStr">
        <is>
          <t>VÄSTERBOTTENS LÄN</t>
        </is>
      </c>
      <c r="E18" t="inlineStr">
        <is>
          <t>VÄNNÄS</t>
        </is>
      </c>
      <c r="G18" t="n">
        <v>4.2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Lundsångare</t>
        </is>
      </c>
      <c r="S18">
        <f>HYPERLINK("https://klasma.github.io/Logging_2460/artfynd/A 61508-2022 artfynd.xlsx", "A 61508-2022")</f>
        <v/>
      </c>
      <c r="T18">
        <f>HYPERLINK("https://klasma.github.io/Logging_2460/kartor/A 61508-2022 karta.png", "A 61508-2022")</f>
        <v/>
      </c>
      <c r="V18">
        <f>HYPERLINK("https://klasma.github.io/Logging_2460/klagomål/A 61508-2022 FSC-klagomål.docx", "A 61508-2022")</f>
        <v/>
      </c>
      <c r="W18">
        <f>HYPERLINK("https://klasma.github.io/Logging_2460/klagomålsmail/A 61508-2022 FSC-klagomål mail.docx", "A 61508-2022")</f>
        <v/>
      </c>
      <c r="X18">
        <f>HYPERLINK("https://klasma.github.io/Logging_2460/tillsyn/A 61508-2022 tillsynsbegäran.docx", "A 61508-2022")</f>
        <v/>
      </c>
      <c r="Y18">
        <f>HYPERLINK("https://klasma.github.io/Logging_2460/tillsynsmail/A 61508-2022 tillsynsbegäran mail.docx", "A 61508-2022")</f>
        <v/>
      </c>
      <c r="Z18">
        <f>HYPERLINK("https://klasma.github.io/Logging_2460/fåglar/A 61508-2022 prioriterade fågelarter.docx", "A 61508-2022")</f>
        <v/>
      </c>
    </row>
    <row r="19" ht="15" customHeight="1">
      <c r="A19" t="inlineStr">
        <is>
          <t>A 15734-2023</t>
        </is>
      </c>
      <c r="B19" s="1" t="n">
        <v>45021</v>
      </c>
      <c r="C19" s="1" t="n">
        <v>45844</v>
      </c>
      <c r="D19" t="inlineStr">
        <is>
          <t>VÄSTERBOTTENS LÄN</t>
        </is>
      </c>
      <c r="E19" t="inlineStr">
        <is>
          <t>VÄNNÄS</t>
        </is>
      </c>
      <c r="G19" t="n">
        <v>2.6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Skrovlig taggsvamp</t>
        </is>
      </c>
      <c r="S19">
        <f>HYPERLINK("https://klasma.github.io/Logging_2460/artfynd/A 15734-2023 artfynd.xlsx", "A 15734-2023")</f>
        <v/>
      </c>
      <c r="T19">
        <f>HYPERLINK("https://klasma.github.io/Logging_2460/kartor/A 15734-2023 karta.png", "A 15734-2023")</f>
        <v/>
      </c>
      <c r="V19">
        <f>HYPERLINK("https://klasma.github.io/Logging_2460/klagomål/A 15734-2023 FSC-klagomål.docx", "A 15734-2023")</f>
        <v/>
      </c>
      <c r="W19">
        <f>HYPERLINK("https://klasma.github.io/Logging_2460/klagomålsmail/A 15734-2023 FSC-klagomål mail.docx", "A 15734-2023")</f>
        <v/>
      </c>
      <c r="X19">
        <f>HYPERLINK("https://klasma.github.io/Logging_2460/tillsyn/A 15734-2023 tillsynsbegäran.docx", "A 15734-2023")</f>
        <v/>
      </c>
      <c r="Y19">
        <f>HYPERLINK("https://klasma.github.io/Logging_2460/tillsynsmail/A 15734-2023 tillsynsbegäran mail.docx", "A 15734-2023")</f>
        <v/>
      </c>
    </row>
    <row r="20" ht="15" customHeight="1">
      <c r="A20" t="inlineStr">
        <is>
          <t>A 26322-2023</t>
        </is>
      </c>
      <c r="B20" s="1" t="n">
        <v>45086</v>
      </c>
      <c r="C20" s="1" t="n">
        <v>45844</v>
      </c>
      <c r="D20" t="inlineStr">
        <is>
          <t>VÄSTERBOTTENS LÄN</t>
        </is>
      </c>
      <c r="E20" t="inlineStr">
        <is>
          <t>VÄNNÄS</t>
        </is>
      </c>
      <c r="G20" t="n">
        <v>5.9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HYPERLINK("https://klasma.github.io/Logging_2460/artfynd/A 26322-2023 artfynd.xlsx", "A 26322-2023")</f>
        <v/>
      </c>
      <c r="T20">
        <f>HYPERLINK("https://klasma.github.io/Logging_2460/kartor/A 26322-2023 karta.png", "A 26322-2023")</f>
        <v/>
      </c>
      <c r="V20">
        <f>HYPERLINK("https://klasma.github.io/Logging_2460/klagomål/A 26322-2023 FSC-klagomål.docx", "A 26322-2023")</f>
        <v/>
      </c>
      <c r="W20">
        <f>HYPERLINK("https://klasma.github.io/Logging_2460/klagomålsmail/A 26322-2023 FSC-klagomål mail.docx", "A 26322-2023")</f>
        <v/>
      </c>
      <c r="X20">
        <f>HYPERLINK("https://klasma.github.io/Logging_2460/tillsyn/A 26322-2023 tillsynsbegäran.docx", "A 26322-2023")</f>
        <v/>
      </c>
      <c r="Y20">
        <f>HYPERLINK("https://klasma.github.io/Logging_2460/tillsynsmail/A 26322-2023 tillsynsbegäran mail.docx", "A 26322-2023")</f>
        <v/>
      </c>
      <c r="Z20">
        <f>HYPERLINK("https://klasma.github.io/Logging_2460/fåglar/A 26322-2023 prioriterade fågelarter.docx", "A 26322-2023")</f>
        <v/>
      </c>
    </row>
    <row r="21" ht="15" customHeight="1">
      <c r="A21" t="inlineStr">
        <is>
          <t>A 8899-2024</t>
        </is>
      </c>
      <c r="B21" s="1" t="n">
        <v>45355</v>
      </c>
      <c r="C21" s="1" t="n">
        <v>45844</v>
      </c>
      <c r="D21" t="inlineStr">
        <is>
          <t>VÄSTERBOTTENS LÄN</t>
        </is>
      </c>
      <c r="E21" t="inlineStr">
        <is>
          <t>VÄNNÄS</t>
        </is>
      </c>
      <c r="G21" t="n">
        <v>7.3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HYPERLINK("https://klasma.github.io/Logging_2460/artfynd/A 8899-2024 artfynd.xlsx", "A 8899-2024")</f>
        <v/>
      </c>
      <c r="T21">
        <f>HYPERLINK("https://klasma.github.io/Logging_2460/kartor/A 8899-2024 karta.png", "A 8899-2024")</f>
        <v/>
      </c>
      <c r="V21">
        <f>HYPERLINK("https://klasma.github.io/Logging_2460/klagomål/A 8899-2024 FSC-klagomål.docx", "A 8899-2024")</f>
        <v/>
      </c>
      <c r="W21">
        <f>HYPERLINK("https://klasma.github.io/Logging_2460/klagomålsmail/A 8899-2024 FSC-klagomål mail.docx", "A 8899-2024")</f>
        <v/>
      </c>
      <c r="X21">
        <f>HYPERLINK("https://klasma.github.io/Logging_2460/tillsyn/A 8899-2024 tillsynsbegäran.docx", "A 8899-2024")</f>
        <v/>
      </c>
      <c r="Y21">
        <f>HYPERLINK("https://klasma.github.io/Logging_2460/tillsynsmail/A 8899-2024 tillsynsbegäran mail.docx", "A 8899-2024")</f>
        <v/>
      </c>
      <c r="Z21">
        <f>HYPERLINK("https://klasma.github.io/Logging_2460/fåglar/A 8899-2024 prioriterade fågelarter.docx", "A 8899-2024")</f>
        <v/>
      </c>
    </row>
    <row r="22" ht="15" customHeight="1">
      <c r="A22" t="inlineStr">
        <is>
          <t>A 18591-2019</t>
        </is>
      </c>
      <c r="B22" s="1" t="n">
        <v>43560</v>
      </c>
      <c r="C22" s="1" t="n">
        <v>45844</v>
      </c>
      <c r="D22" t="inlineStr">
        <is>
          <t>VÄSTERBOTTENS LÄN</t>
        </is>
      </c>
      <c r="E22" t="inlineStr">
        <is>
          <t>VÄNNÄS</t>
        </is>
      </c>
      <c r="F22" t="inlineStr">
        <is>
          <t>Övriga Aktiebolag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20714-2019</t>
        </is>
      </c>
      <c r="B23" s="1" t="n">
        <v>43573</v>
      </c>
      <c r="C23" s="1" t="n">
        <v>45844</v>
      </c>
      <c r="D23" t="inlineStr">
        <is>
          <t>VÄSTERBOTTENS LÄN</t>
        </is>
      </c>
      <c r="E23" t="inlineStr">
        <is>
          <t>VÄNNÄS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22156-2019</t>
        </is>
      </c>
      <c r="B24" s="1" t="n">
        <v>43585</v>
      </c>
      <c r="C24" s="1" t="n">
        <v>45844</v>
      </c>
      <c r="D24" t="inlineStr">
        <is>
          <t>VÄSTERBOTTENS LÄN</t>
        </is>
      </c>
      <c r="E24" t="inlineStr">
        <is>
          <t>VÄNNÄS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23226-2019</t>
        </is>
      </c>
      <c r="B25" s="1" t="n">
        <v>43592</v>
      </c>
      <c r="C25" s="1" t="n">
        <v>45844</v>
      </c>
      <c r="D25" t="inlineStr">
        <is>
          <t>VÄSTERBOTTENS LÄN</t>
        </is>
      </c>
      <c r="E25" t="inlineStr">
        <is>
          <t>VÄNNÄS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24386-2019</t>
        </is>
      </c>
      <c r="B26" s="1" t="n">
        <v>43599</v>
      </c>
      <c r="C26" s="1" t="n">
        <v>45844</v>
      </c>
      <c r="D26" t="inlineStr">
        <is>
          <t>VÄSTERBOTTENS LÄN</t>
        </is>
      </c>
      <c r="E26" t="inlineStr">
        <is>
          <t>VÄNNÄS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25290-2019</t>
        </is>
      </c>
      <c r="B27" s="1" t="n">
        <v>43605</v>
      </c>
      <c r="C27" s="1" t="n">
        <v>45844</v>
      </c>
      <c r="D27" t="inlineStr">
        <is>
          <t>VÄSTERBOTTENS LÄN</t>
        </is>
      </c>
      <c r="E27" t="inlineStr">
        <is>
          <t>VÄNNÄS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31471-2019</t>
        </is>
      </c>
      <c r="B28" s="1" t="n">
        <v>43640</v>
      </c>
      <c r="C28" s="1" t="n">
        <v>45844</v>
      </c>
      <c r="D28" t="inlineStr">
        <is>
          <t>VÄSTERBOTTENS LÄN</t>
        </is>
      </c>
      <c r="E28" t="inlineStr">
        <is>
          <t>VÄNNÄS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32439-2019</t>
        </is>
      </c>
      <c r="B29" s="1" t="n">
        <v>43644</v>
      </c>
      <c r="C29" s="1" t="n">
        <v>45844</v>
      </c>
      <c r="D29" t="inlineStr">
        <is>
          <t>VÄSTERBOTTENS LÄN</t>
        </is>
      </c>
      <c r="E29" t="inlineStr">
        <is>
          <t>VÄNNÄS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33467-2019</t>
        </is>
      </c>
      <c r="B30" s="1" t="n">
        <v>43650</v>
      </c>
      <c r="C30" s="1" t="n">
        <v>45844</v>
      </c>
      <c r="D30" t="inlineStr">
        <is>
          <t>VÄSTERBOTTENS LÄN</t>
        </is>
      </c>
      <c r="E30" t="inlineStr">
        <is>
          <t>VÄNNÄS</t>
        </is>
      </c>
      <c r="G30" t="n">
        <v>10.4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34666-2019</t>
        </is>
      </c>
      <c r="B31" s="1" t="n">
        <v>43657</v>
      </c>
      <c r="C31" s="1" t="n">
        <v>45844</v>
      </c>
      <c r="D31" t="inlineStr">
        <is>
          <t>VÄSTERBOTTENS LÄN</t>
        </is>
      </c>
      <c r="E31" t="inlineStr">
        <is>
          <t>VÄNNÄS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39719-2019</t>
        </is>
      </c>
      <c r="B32" s="1" t="n">
        <v>43689</v>
      </c>
      <c r="C32" s="1" t="n">
        <v>45844</v>
      </c>
      <c r="D32" t="inlineStr">
        <is>
          <t>VÄSTERBOTTENS LÄN</t>
        </is>
      </c>
      <c r="E32" t="inlineStr">
        <is>
          <t>VÄNNÄS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44508-2019</t>
        </is>
      </c>
      <c r="B33" s="1" t="n">
        <v>43711</v>
      </c>
      <c r="C33" s="1" t="n">
        <v>45844</v>
      </c>
      <c r="D33" t="inlineStr">
        <is>
          <t>VÄSTERBOTTENS LÄN</t>
        </is>
      </c>
      <c r="E33" t="inlineStr">
        <is>
          <t>VÄNNÄS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49293-2019</t>
        </is>
      </c>
      <c r="B34" s="1" t="n">
        <v>43731</v>
      </c>
      <c r="C34" s="1" t="n">
        <v>45844</v>
      </c>
      <c r="D34" t="inlineStr">
        <is>
          <t>VÄSTERBOTTENS LÄN</t>
        </is>
      </c>
      <c r="E34" t="inlineStr">
        <is>
          <t>VÄNNÄS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54355-2019</t>
        </is>
      </c>
      <c r="B35" s="1" t="n">
        <v>43746</v>
      </c>
      <c r="C35" s="1" t="n">
        <v>45844</v>
      </c>
      <c r="D35" t="inlineStr">
        <is>
          <t>VÄSTERBOTTENS LÄN</t>
        </is>
      </c>
      <c r="E35" t="inlineStr">
        <is>
          <t>VÄNNÄS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60602-2019</t>
        </is>
      </c>
      <c r="B36" s="1" t="n">
        <v>43781</v>
      </c>
      <c r="C36" s="1" t="n">
        <v>45844</v>
      </c>
      <c r="D36" t="inlineStr">
        <is>
          <t>VÄSTERBOTTENS LÄN</t>
        </is>
      </c>
      <c r="E36" t="inlineStr">
        <is>
          <t>VÄNNÄS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60939-2019</t>
        </is>
      </c>
      <c r="B37" s="1" t="n">
        <v>43782</v>
      </c>
      <c r="C37" s="1" t="n">
        <v>45844</v>
      </c>
      <c r="D37" t="inlineStr">
        <is>
          <t>VÄSTERBOTTENS LÄN</t>
        </is>
      </c>
      <c r="E37" t="inlineStr">
        <is>
          <t>VÄNNÄS</t>
        </is>
      </c>
      <c r="F37" t="inlineStr">
        <is>
          <t>Holmen skog AB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62216-2019</t>
        </is>
      </c>
      <c r="B38" s="1" t="n">
        <v>43782</v>
      </c>
      <c r="C38" s="1" t="n">
        <v>45844</v>
      </c>
      <c r="D38" t="inlineStr">
        <is>
          <t>VÄSTERBOTTENS LÄN</t>
        </is>
      </c>
      <c r="E38" t="inlineStr">
        <is>
          <t>VÄNNÄS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63040-2019</t>
        </is>
      </c>
      <c r="B39" s="1" t="n">
        <v>43787</v>
      </c>
      <c r="C39" s="1" t="n">
        <v>45844</v>
      </c>
      <c r="D39" t="inlineStr">
        <is>
          <t>VÄSTERBOTTENS LÄN</t>
        </is>
      </c>
      <c r="E39" t="inlineStr">
        <is>
          <t>VÄNNÄS</t>
        </is>
      </c>
      <c r="G39" t="n">
        <v>11.3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64708-2019</t>
        </is>
      </c>
      <c r="B40" s="1" t="n">
        <v>43798</v>
      </c>
      <c r="C40" s="1" t="n">
        <v>45844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64706-2019</t>
        </is>
      </c>
      <c r="B41" s="1" t="n">
        <v>43798</v>
      </c>
      <c r="C41" s="1" t="n">
        <v>45844</v>
      </c>
      <c r="D41" t="inlineStr">
        <is>
          <t>VÄSTERBOTTENS LÄN</t>
        </is>
      </c>
      <c r="E41" t="inlineStr">
        <is>
          <t>VÄNNÄS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66182-2019</t>
        </is>
      </c>
      <c r="B42" s="1" t="n">
        <v>43801</v>
      </c>
      <c r="C42" s="1" t="n">
        <v>45844</v>
      </c>
      <c r="D42" t="inlineStr">
        <is>
          <t>VÄSTERBOTTENS LÄN</t>
        </is>
      </c>
      <c r="E42" t="inlineStr">
        <is>
          <t>VÄNNÄS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65463-2019</t>
        </is>
      </c>
      <c r="B43" s="1" t="n">
        <v>43803</v>
      </c>
      <c r="C43" s="1" t="n">
        <v>45844</v>
      </c>
      <c r="D43" t="inlineStr">
        <is>
          <t>VÄSTERBOTTENS LÄN</t>
        </is>
      </c>
      <c r="E43" t="inlineStr">
        <is>
          <t>VÄNNÄS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67913-2019</t>
        </is>
      </c>
      <c r="B44" s="1" t="n">
        <v>43811</v>
      </c>
      <c r="C44" s="1" t="n">
        <v>45844</v>
      </c>
      <c r="D44" t="inlineStr">
        <is>
          <t>VÄSTERBOTTENS LÄN</t>
        </is>
      </c>
      <c r="E44" t="inlineStr">
        <is>
          <t>VÄNNÄS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68320-2019</t>
        </is>
      </c>
      <c r="B45" s="1" t="n">
        <v>43811</v>
      </c>
      <c r="C45" s="1" t="n">
        <v>45844</v>
      </c>
      <c r="D45" t="inlineStr">
        <is>
          <t>VÄSTERBOTTENS LÄN</t>
        </is>
      </c>
      <c r="E45" t="inlineStr">
        <is>
          <t>VÄNNÄS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67961-2019</t>
        </is>
      </c>
      <c r="B46" s="1" t="n">
        <v>43811</v>
      </c>
      <c r="C46" s="1" t="n">
        <v>45844</v>
      </c>
      <c r="D46" t="inlineStr">
        <is>
          <t>VÄSTERBOTTENS LÄN</t>
        </is>
      </c>
      <c r="E46" t="inlineStr">
        <is>
          <t>VÄNNÄS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433-2020</t>
        </is>
      </c>
      <c r="B47" s="1" t="n">
        <v>43816</v>
      </c>
      <c r="C47" s="1" t="n">
        <v>45844</v>
      </c>
      <c r="D47" t="inlineStr">
        <is>
          <t>VÄSTERBOTTENS LÄN</t>
        </is>
      </c>
      <c r="E47" t="inlineStr">
        <is>
          <t>VÄNNÄS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2001-2020</t>
        </is>
      </c>
      <c r="B48" s="1" t="n">
        <v>43845</v>
      </c>
      <c r="C48" s="1" t="n">
        <v>45844</v>
      </c>
      <c r="D48" t="inlineStr">
        <is>
          <t>VÄSTERBOTTENS LÄN</t>
        </is>
      </c>
      <c r="E48" t="inlineStr">
        <is>
          <t>VÄNNÄS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4305-2020</t>
        </is>
      </c>
      <c r="B49" s="1" t="n">
        <v>43857</v>
      </c>
      <c r="C49" s="1" t="n">
        <v>45844</v>
      </c>
      <c r="D49" t="inlineStr">
        <is>
          <t>VÄSTERBOTTENS LÄN</t>
        </is>
      </c>
      <c r="E49" t="inlineStr">
        <is>
          <t>VÄNNÄS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7029-2020</t>
        </is>
      </c>
      <c r="B50" s="1" t="n">
        <v>43868</v>
      </c>
      <c r="C50" s="1" t="n">
        <v>45844</v>
      </c>
      <c r="D50" t="inlineStr">
        <is>
          <t>VÄSTERBOTTENS LÄN</t>
        </is>
      </c>
      <c r="E50" t="inlineStr">
        <is>
          <t>VÄNNÄS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7016-2020</t>
        </is>
      </c>
      <c r="B51" s="1" t="n">
        <v>43868</v>
      </c>
      <c r="C51" s="1" t="n">
        <v>45844</v>
      </c>
      <c r="D51" t="inlineStr">
        <is>
          <t>VÄSTERBOTTENS LÄN</t>
        </is>
      </c>
      <c r="E51" t="inlineStr">
        <is>
          <t>VÄNNÄS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7533-2020</t>
        </is>
      </c>
      <c r="B52" s="1" t="n">
        <v>43872</v>
      </c>
      <c r="C52" s="1" t="n">
        <v>45844</v>
      </c>
      <c r="D52" t="inlineStr">
        <is>
          <t>VÄSTERBOTTENS LÄN</t>
        </is>
      </c>
      <c r="E52" t="inlineStr">
        <is>
          <t>VÄNNÄS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11928-2020</t>
        </is>
      </c>
      <c r="B53" s="1" t="n">
        <v>43888</v>
      </c>
      <c r="C53" s="1" t="n">
        <v>45844</v>
      </c>
      <c r="D53" t="inlineStr">
        <is>
          <t>VÄSTERBOTTENS LÄN</t>
        </is>
      </c>
      <c r="E53" t="inlineStr">
        <is>
          <t>VÄNNÄS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16678-2020</t>
        </is>
      </c>
      <c r="B54" s="1" t="n">
        <v>43910</v>
      </c>
      <c r="C54" s="1" t="n">
        <v>45844</v>
      </c>
      <c r="D54" t="inlineStr">
        <is>
          <t>VÄSTERBOTTENS LÄN</t>
        </is>
      </c>
      <c r="E54" t="inlineStr">
        <is>
          <t>VÄNNÄS</t>
        </is>
      </c>
      <c r="G54" t="n">
        <v>18.8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15087-2020</t>
        </is>
      </c>
      <c r="B55" s="1" t="n">
        <v>43910</v>
      </c>
      <c r="C55" s="1" t="n">
        <v>45844</v>
      </c>
      <c r="D55" t="inlineStr">
        <is>
          <t>VÄSTERBOTTENS LÄN</t>
        </is>
      </c>
      <c r="E55" t="inlineStr">
        <is>
          <t>VÄNNÄS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19693-2020</t>
        </is>
      </c>
      <c r="B56" s="1" t="n">
        <v>43941</v>
      </c>
      <c r="C56" s="1" t="n">
        <v>45844</v>
      </c>
      <c r="D56" t="inlineStr">
        <is>
          <t>VÄSTERBOTTENS LÄN</t>
        </is>
      </c>
      <c r="E56" t="inlineStr">
        <is>
          <t>VÄNNÄS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27111-2020</t>
        </is>
      </c>
      <c r="B57" s="1" t="n">
        <v>43990</v>
      </c>
      <c r="C57" s="1" t="n">
        <v>45844</v>
      </c>
      <c r="D57" t="inlineStr">
        <is>
          <t>VÄSTERBOTTENS LÄN</t>
        </is>
      </c>
      <c r="E57" t="inlineStr">
        <is>
          <t>VÄNNÄS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30144-2020</t>
        </is>
      </c>
      <c r="B58" s="1" t="n">
        <v>44006</v>
      </c>
      <c r="C58" s="1" t="n">
        <v>45844</v>
      </c>
      <c r="D58" t="inlineStr">
        <is>
          <t>VÄSTERBOTTENS LÄN</t>
        </is>
      </c>
      <c r="E58" t="inlineStr">
        <is>
          <t>VÄNNÄS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30340-2020</t>
        </is>
      </c>
      <c r="B59" s="1" t="n">
        <v>44007</v>
      </c>
      <c r="C59" s="1" t="n">
        <v>45844</v>
      </c>
      <c r="D59" t="inlineStr">
        <is>
          <t>VÄSTERBOTTENS LÄN</t>
        </is>
      </c>
      <c r="E59" t="inlineStr">
        <is>
          <t>VÄNNÄS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30425-2020</t>
        </is>
      </c>
      <c r="B60" s="1" t="n">
        <v>44007</v>
      </c>
      <c r="C60" s="1" t="n">
        <v>45844</v>
      </c>
      <c r="D60" t="inlineStr">
        <is>
          <t>VÄSTERBOTTENS LÄN</t>
        </is>
      </c>
      <c r="E60" t="inlineStr">
        <is>
          <t>VÄNNÄS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30553-2020</t>
        </is>
      </c>
      <c r="B61" s="1" t="n">
        <v>44008</v>
      </c>
      <c r="C61" s="1" t="n">
        <v>45844</v>
      </c>
      <c r="D61" t="inlineStr">
        <is>
          <t>VÄSTERBOTTENS LÄN</t>
        </is>
      </c>
      <c r="E61" t="inlineStr">
        <is>
          <t>VÄNNÄS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31255-2020</t>
        </is>
      </c>
      <c r="B62" s="1" t="n">
        <v>44012</v>
      </c>
      <c r="C62" s="1" t="n">
        <v>45844</v>
      </c>
      <c r="D62" t="inlineStr">
        <is>
          <t>VÄSTERBOTTENS LÄN</t>
        </is>
      </c>
      <c r="E62" t="inlineStr">
        <is>
          <t>VÄNNÄS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31895-2020</t>
        </is>
      </c>
      <c r="B63" s="1" t="n">
        <v>44014</v>
      </c>
      <c r="C63" s="1" t="n">
        <v>45844</v>
      </c>
      <c r="D63" t="inlineStr">
        <is>
          <t>VÄSTERBOTTENS LÄN</t>
        </is>
      </c>
      <c r="E63" t="inlineStr">
        <is>
          <t>VÄNNÄS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32329-2020</t>
        </is>
      </c>
      <c r="B64" s="1" t="n">
        <v>44016</v>
      </c>
      <c r="C64" s="1" t="n">
        <v>45844</v>
      </c>
      <c r="D64" t="inlineStr">
        <is>
          <t>VÄSTERBOTTENS LÄN</t>
        </is>
      </c>
      <c r="E64" t="inlineStr">
        <is>
          <t>VÄNNÄS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32330-2020</t>
        </is>
      </c>
      <c r="B65" s="1" t="n">
        <v>44016</v>
      </c>
      <c r="C65" s="1" t="n">
        <v>45844</v>
      </c>
      <c r="D65" t="inlineStr">
        <is>
          <t>VÄSTERBOTTENS LÄN</t>
        </is>
      </c>
      <c r="E65" t="inlineStr">
        <is>
          <t>VÄNNÄS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36439-2020</t>
        </is>
      </c>
      <c r="B66" s="1" t="n">
        <v>44049</v>
      </c>
      <c r="C66" s="1" t="n">
        <v>45844</v>
      </c>
      <c r="D66" t="inlineStr">
        <is>
          <t>VÄSTERBOTTENS LÄN</t>
        </is>
      </c>
      <c r="E66" t="inlineStr">
        <is>
          <t>VÄNNÄS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36440-2020</t>
        </is>
      </c>
      <c r="B67" s="1" t="n">
        <v>44049</v>
      </c>
      <c r="C67" s="1" t="n">
        <v>45844</v>
      </c>
      <c r="D67" t="inlineStr">
        <is>
          <t>VÄSTERBOTTENS LÄN</t>
        </is>
      </c>
      <c r="E67" t="inlineStr">
        <is>
          <t>VÄNNÄS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39129-2020</t>
        </is>
      </c>
      <c r="B68" s="1" t="n">
        <v>44063</v>
      </c>
      <c r="C68" s="1" t="n">
        <v>45844</v>
      </c>
      <c r="D68" t="inlineStr">
        <is>
          <t>VÄSTERBOTTENS LÄN</t>
        </is>
      </c>
      <c r="E68" t="inlineStr">
        <is>
          <t>VÄNNÄS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42406-2020</t>
        </is>
      </c>
      <c r="B69" s="1" t="n">
        <v>44076</v>
      </c>
      <c r="C69" s="1" t="n">
        <v>45844</v>
      </c>
      <c r="D69" t="inlineStr">
        <is>
          <t>VÄSTERBOTTENS LÄN</t>
        </is>
      </c>
      <c r="E69" t="inlineStr">
        <is>
          <t>VÄNNÄS</t>
        </is>
      </c>
      <c r="F69" t="inlineStr">
        <is>
          <t>Holmen skog AB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51472-2020</t>
        </is>
      </c>
      <c r="B70" s="1" t="n">
        <v>44106</v>
      </c>
      <c r="C70" s="1" t="n">
        <v>45844</v>
      </c>
      <c r="D70" t="inlineStr">
        <is>
          <t>VÄSTERBOTTENS LÄN</t>
        </is>
      </c>
      <c r="E70" t="inlineStr">
        <is>
          <t>VÄNNÄS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53758-2020</t>
        </is>
      </c>
      <c r="B71" s="1" t="n">
        <v>44123</v>
      </c>
      <c r="C71" s="1" t="n">
        <v>45844</v>
      </c>
      <c r="D71" t="inlineStr">
        <is>
          <t>VÄSTERBOTTENS LÄN</t>
        </is>
      </c>
      <c r="E71" t="inlineStr">
        <is>
          <t>VÄNNÄS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54734-2020</t>
        </is>
      </c>
      <c r="B72" s="1" t="n">
        <v>44127</v>
      </c>
      <c r="C72" s="1" t="n">
        <v>45844</v>
      </c>
      <c r="D72" t="inlineStr">
        <is>
          <t>VÄSTERBOTTENS LÄN</t>
        </is>
      </c>
      <c r="E72" t="inlineStr">
        <is>
          <t>VÄNNÄS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58614-2020</t>
        </is>
      </c>
      <c r="B73" s="1" t="n">
        <v>44145</v>
      </c>
      <c r="C73" s="1" t="n">
        <v>45844</v>
      </c>
      <c r="D73" t="inlineStr">
        <is>
          <t>VÄSTERBOTTENS LÄN</t>
        </is>
      </c>
      <c r="E73" t="inlineStr">
        <is>
          <t>VÄNNÄS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60469-2020</t>
        </is>
      </c>
      <c r="B74" s="1" t="n">
        <v>44152</v>
      </c>
      <c r="C74" s="1" t="n">
        <v>45844</v>
      </c>
      <c r="D74" t="inlineStr">
        <is>
          <t>VÄSTERBOTTENS LÄN</t>
        </is>
      </c>
      <c r="E74" t="inlineStr">
        <is>
          <t>VÄNNÄS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60502-2020</t>
        </is>
      </c>
      <c r="B75" s="1" t="n">
        <v>44152</v>
      </c>
      <c r="C75" s="1" t="n">
        <v>45844</v>
      </c>
      <c r="D75" t="inlineStr">
        <is>
          <t>VÄSTERBOTTENS LÄN</t>
        </is>
      </c>
      <c r="E75" t="inlineStr">
        <is>
          <t>VÄNNÄS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62476-2020</t>
        </is>
      </c>
      <c r="B76" s="1" t="n">
        <v>44158</v>
      </c>
      <c r="C76" s="1" t="n">
        <v>45844</v>
      </c>
      <c r="D76" t="inlineStr">
        <is>
          <t>VÄSTERBOTTENS LÄN</t>
        </is>
      </c>
      <c r="E76" t="inlineStr">
        <is>
          <t>VÄNNÄS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63727-2020</t>
        </is>
      </c>
      <c r="B77" s="1" t="n">
        <v>44166</v>
      </c>
      <c r="C77" s="1" t="n">
        <v>45844</v>
      </c>
      <c r="D77" t="inlineStr">
        <is>
          <t>VÄSTERBOTTENS LÄN</t>
        </is>
      </c>
      <c r="E77" t="inlineStr">
        <is>
          <t>VÄNNÄS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65419-2020</t>
        </is>
      </c>
      <c r="B78" s="1" t="n">
        <v>44173</v>
      </c>
      <c r="C78" s="1" t="n">
        <v>45844</v>
      </c>
      <c r="D78" t="inlineStr">
        <is>
          <t>VÄSTERBOTTENS LÄN</t>
        </is>
      </c>
      <c r="E78" t="inlineStr">
        <is>
          <t>VÄNNÄS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67421-2020</t>
        </is>
      </c>
      <c r="B79" s="1" t="n">
        <v>44179</v>
      </c>
      <c r="C79" s="1" t="n">
        <v>45844</v>
      </c>
      <c r="D79" t="inlineStr">
        <is>
          <t>VÄSTERBOTTENS LÄN</t>
        </is>
      </c>
      <c r="E79" t="inlineStr">
        <is>
          <t>VÄNNÄS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1153-2021</t>
        </is>
      </c>
      <c r="B80" s="1" t="n">
        <v>44207</v>
      </c>
      <c r="C80" s="1" t="n">
        <v>45844</v>
      </c>
      <c r="D80" t="inlineStr">
        <is>
          <t>VÄSTERBOTTENS LÄN</t>
        </is>
      </c>
      <c r="E80" t="inlineStr">
        <is>
          <t>VÄNNÄS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1920-2021</t>
        </is>
      </c>
      <c r="B81" s="1" t="n">
        <v>44210</v>
      </c>
      <c r="C81" s="1" t="n">
        <v>45844</v>
      </c>
      <c r="D81" t="inlineStr">
        <is>
          <t>VÄSTERBOTTENS LÄN</t>
        </is>
      </c>
      <c r="E81" t="inlineStr">
        <is>
          <t>VÄNNÄS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2594-2021</t>
        </is>
      </c>
      <c r="B82" s="1" t="n">
        <v>44214</v>
      </c>
      <c r="C82" s="1" t="n">
        <v>45844</v>
      </c>
      <c r="D82" t="inlineStr">
        <is>
          <t>VÄSTERBOTTENS LÄN</t>
        </is>
      </c>
      <c r="E82" t="inlineStr">
        <is>
          <t>VÄNNÄS</t>
        </is>
      </c>
      <c r="G82" t="n">
        <v>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6292-2021</t>
        </is>
      </c>
      <c r="B83" s="1" t="n">
        <v>44235</v>
      </c>
      <c r="C83" s="1" t="n">
        <v>45844</v>
      </c>
      <c r="D83" t="inlineStr">
        <is>
          <t>VÄSTERBOTTENS LÄN</t>
        </is>
      </c>
      <c r="E83" t="inlineStr">
        <is>
          <t>VÄNNÄS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6288-2021</t>
        </is>
      </c>
      <c r="B84" s="1" t="n">
        <v>44235</v>
      </c>
      <c r="C84" s="1" t="n">
        <v>45844</v>
      </c>
      <c r="D84" t="inlineStr">
        <is>
          <t>VÄSTERBOTTENS LÄN</t>
        </is>
      </c>
      <c r="E84" t="inlineStr">
        <is>
          <t>VÄNNÄS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11989-2021</t>
        </is>
      </c>
      <c r="B85" s="1" t="n">
        <v>44265</v>
      </c>
      <c r="C85" s="1" t="n">
        <v>45844</v>
      </c>
      <c r="D85" t="inlineStr">
        <is>
          <t>VÄSTERBOTTENS LÄN</t>
        </is>
      </c>
      <c r="E85" t="inlineStr">
        <is>
          <t>VÄNNÄS</t>
        </is>
      </c>
      <c r="G85" t="n">
        <v>9.800000000000001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15409-2021</t>
        </is>
      </c>
      <c r="B86" s="1" t="n">
        <v>44285</v>
      </c>
      <c r="C86" s="1" t="n">
        <v>45844</v>
      </c>
      <c r="D86" t="inlineStr">
        <is>
          <t>VÄSTERBOTTENS LÄN</t>
        </is>
      </c>
      <c r="E86" t="inlineStr">
        <is>
          <t>VÄNNÄS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28065-2021</t>
        </is>
      </c>
      <c r="B87" s="1" t="n">
        <v>44355</v>
      </c>
      <c r="C87" s="1" t="n">
        <v>45844</v>
      </c>
      <c r="D87" t="inlineStr">
        <is>
          <t>VÄSTERBOTTENS LÄN</t>
        </is>
      </c>
      <c r="E87" t="inlineStr">
        <is>
          <t>VÄNNÄS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29712-2021</t>
        </is>
      </c>
      <c r="B88" s="1" t="n">
        <v>44362</v>
      </c>
      <c r="C88" s="1" t="n">
        <v>45844</v>
      </c>
      <c r="D88" t="inlineStr">
        <is>
          <t>VÄSTERBOTTENS LÄN</t>
        </is>
      </c>
      <c r="E88" t="inlineStr">
        <is>
          <t>VÄNNÄS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32739-2021</t>
        </is>
      </c>
      <c r="B89" s="1" t="n">
        <v>44375</v>
      </c>
      <c r="C89" s="1" t="n">
        <v>45844</v>
      </c>
      <c r="D89" t="inlineStr">
        <is>
          <t>VÄSTERBOTTENS LÄN</t>
        </is>
      </c>
      <c r="E89" t="inlineStr">
        <is>
          <t>VÄNNÄS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33226-2021</t>
        </is>
      </c>
      <c r="B90" s="1" t="n">
        <v>44376</v>
      </c>
      <c r="C90" s="1" t="n">
        <v>45844</v>
      </c>
      <c r="D90" t="inlineStr">
        <is>
          <t>VÄSTERBOTTENS LÄN</t>
        </is>
      </c>
      <c r="E90" t="inlineStr">
        <is>
          <t>VÄNNÄS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35557-2021</t>
        </is>
      </c>
      <c r="B91" s="1" t="n">
        <v>44385</v>
      </c>
      <c r="C91" s="1" t="n">
        <v>45844</v>
      </c>
      <c r="D91" t="inlineStr">
        <is>
          <t>VÄSTERBOTTENS LÄN</t>
        </is>
      </c>
      <c r="E91" t="inlineStr">
        <is>
          <t>VÄNNÄS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36342-2021</t>
        </is>
      </c>
      <c r="B92" s="1" t="n">
        <v>44390</v>
      </c>
      <c r="C92" s="1" t="n">
        <v>45844</v>
      </c>
      <c r="D92" t="inlineStr">
        <is>
          <t>VÄSTERBOTTENS LÄN</t>
        </is>
      </c>
      <c r="E92" t="inlineStr">
        <is>
          <t>VÄNNÄS</t>
        </is>
      </c>
      <c r="F92" t="inlineStr">
        <is>
          <t>Övriga Aktiebolag</t>
        </is>
      </c>
      <c r="G92" t="n">
        <v>10.6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46950-2021</t>
        </is>
      </c>
      <c r="B93" s="1" t="n">
        <v>44446</v>
      </c>
      <c r="C93" s="1" t="n">
        <v>45844</v>
      </c>
      <c r="D93" t="inlineStr">
        <is>
          <t>VÄSTERBOTTENS LÄN</t>
        </is>
      </c>
      <c r="E93" t="inlineStr">
        <is>
          <t>VÄNNÄS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48890-2021</t>
        </is>
      </c>
      <c r="B94" s="1" t="n">
        <v>44452</v>
      </c>
      <c r="C94" s="1" t="n">
        <v>45844</v>
      </c>
      <c r="D94" t="inlineStr">
        <is>
          <t>VÄSTERBOTTENS LÄN</t>
        </is>
      </c>
      <c r="E94" t="inlineStr">
        <is>
          <t>VÄNNÄS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49644-2021</t>
        </is>
      </c>
      <c r="B95" s="1" t="n">
        <v>44454</v>
      </c>
      <c r="C95" s="1" t="n">
        <v>45844</v>
      </c>
      <c r="D95" t="inlineStr">
        <is>
          <t>VÄSTERBOTTENS LÄN</t>
        </is>
      </c>
      <c r="E95" t="inlineStr">
        <is>
          <t>VÄNNÄS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62553-2021</t>
        </is>
      </c>
      <c r="B96" s="1" t="n">
        <v>44501</v>
      </c>
      <c r="C96" s="1" t="n">
        <v>45844</v>
      </c>
      <c r="D96" t="inlineStr">
        <is>
          <t>VÄSTERBOTTENS LÄN</t>
        </is>
      </c>
      <c r="E96" t="inlineStr">
        <is>
          <t>VÄNNÄS</t>
        </is>
      </c>
      <c r="G96" t="n">
        <v>10.2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63981-2021</t>
        </is>
      </c>
      <c r="B97" s="1" t="n">
        <v>44509</v>
      </c>
      <c r="C97" s="1" t="n">
        <v>45844</v>
      </c>
      <c r="D97" t="inlineStr">
        <is>
          <t>VÄSTERBOTTENS LÄN</t>
        </is>
      </c>
      <c r="E97" t="inlineStr">
        <is>
          <t>VÄNNÄS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63980-2021</t>
        </is>
      </c>
      <c r="B98" s="1" t="n">
        <v>44509</v>
      </c>
      <c r="C98" s="1" t="n">
        <v>45844</v>
      </c>
      <c r="D98" t="inlineStr">
        <is>
          <t>VÄSTERBOTTENS LÄN</t>
        </is>
      </c>
      <c r="E98" t="inlineStr">
        <is>
          <t>VÄNNÄS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65939-2021</t>
        </is>
      </c>
      <c r="B99" s="1" t="n">
        <v>44517</v>
      </c>
      <c r="C99" s="1" t="n">
        <v>45844</v>
      </c>
      <c r="D99" t="inlineStr">
        <is>
          <t>VÄSTERBOTTENS LÄN</t>
        </is>
      </c>
      <c r="E99" t="inlineStr">
        <is>
          <t>VÄNNÄS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67514-2021</t>
        </is>
      </c>
      <c r="B100" s="1" t="n">
        <v>44524</v>
      </c>
      <c r="C100" s="1" t="n">
        <v>45844</v>
      </c>
      <c r="D100" t="inlineStr">
        <is>
          <t>VÄSTERBOTTENS LÄN</t>
        </is>
      </c>
      <c r="E100" t="inlineStr">
        <is>
          <t>VÄNNÄS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67534-2021</t>
        </is>
      </c>
      <c r="B101" s="1" t="n">
        <v>44524</v>
      </c>
      <c r="C101" s="1" t="n">
        <v>45844</v>
      </c>
      <c r="D101" t="inlineStr">
        <is>
          <t>VÄSTERBOTTENS LÄN</t>
        </is>
      </c>
      <c r="E101" t="inlineStr">
        <is>
          <t>VÄNNÄS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68300-2021</t>
        </is>
      </c>
      <c r="B102" s="1" t="n">
        <v>44526</v>
      </c>
      <c r="C102" s="1" t="n">
        <v>45844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68632-2021</t>
        </is>
      </c>
      <c r="B103" s="1" t="n">
        <v>44529</v>
      </c>
      <c r="C103" s="1" t="n">
        <v>45844</v>
      </c>
      <c r="D103" t="inlineStr">
        <is>
          <t>VÄSTERBOTTENS LÄN</t>
        </is>
      </c>
      <c r="E103" t="inlineStr">
        <is>
          <t>VÄNNÄS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69901-2021</t>
        </is>
      </c>
      <c r="B104" s="1" t="n">
        <v>44532</v>
      </c>
      <c r="C104" s="1" t="n">
        <v>45844</v>
      </c>
      <c r="D104" t="inlineStr">
        <is>
          <t>VÄSTERBOTTENS LÄN</t>
        </is>
      </c>
      <c r="E104" t="inlineStr">
        <is>
          <t>VÄNNÄS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427-2022</t>
        </is>
      </c>
      <c r="B105" s="1" t="n">
        <v>44565</v>
      </c>
      <c r="C105" s="1" t="n">
        <v>45844</v>
      </c>
      <c r="D105" t="inlineStr">
        <is>
          <t>VÄSTERBOTTENS LÄN</t>
        </is>
      </c>
      <c r="E105" t="inlineStr">
        <is>
          <t>VÄNNÄS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426-2022</t>
        </is>
      </c>
      <c r="B106" s="1" t="n">
        <v>44565</v>
      </c>
      <c r="C106" s="1" t="n">
        <v>45844</v>
      </c>
      <c r="D106" t="inlineStr">
        <is>
          <t>VÄSTERBOTTENS LÄN</t>
        </is>
      </c>
      <c r="E106" t="inlineStr">
        <is>
          <t>VÄNNÄS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429-2022</t>
        </is>
      </c>
      <c r="B107" s="1" t="n">
        <v>44565</v>
      </c>
      <c r="C107" s="1" t="n">
        <v>45844</v>
      </c>
      <c r="D107" t="inlineStr">
        <is>
          <t>VÄSTERBOTTENS LÄN</t>
        </is>
      </c>
      <c r="E107" t="inlineStr">
        <is>
          <t>VÄNNÄS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846-2022</t>
        </is>
      </c>
      <c r="B108" s="1" t="n">
        <v>44571</v>
      </c>
      <c r="C108" s="1" t="n">
        <v>45844</v>
      </c>
      <c r="D108" t="inlineStr">
        <is>
          <t>VÄSTERBOTTENS LÄN</t>
        </is>
      </c>
      <c r="E108" t="inlineStr">
        <is>
          <t>VÄNNÄS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2933-2022</t>
        </is>
      </c>
      <c r="B109" s="1" t="n">
        <v>44581</v>
      </c>
      <c r="C109" s="1" t="n">
        <v>45844</v>
      </c>
      <c r="D109" t="inlineStr">
        <is>
          <t>VÄSTERBOTTENS LÄN</t>
        </is>
      </c>
      <c r="E109" t="inlineStr">
        <is>
          <t>VÄNNÄS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7902-2022</t>
        </is>
      </c>
      <c r="B110" s="1" t="n">
        <v>44608</v>
      </c>
      <c r="C110" s="1" t="n">
        <v>45844</v>
      </c>
      <c r="D110" t="inlineStr">
        <is>
          <t>VÄSTERBOTTENS LÄN</t>
        </is>
      </c>
      <c r="E110" t="inlineStr">
        <is>
          <t>VÄNNÄS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8401-2022</t>
        </is>
      </c>
      <c r="B111" s="1" t="n">
        <v>44610</v>
      </c>
      <c r="C111" s="1" t="n">
        <v>45844</v>
      </c>
      <c r="D111" t="inlineStr">
        <is>
          <t>VÄSTERBOTTENS LÄN</t>
        </is>
      </c>
      <c r="E111" t="inlineStr">
        <is>
          <t>VÄNNÄS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8399-2022</t>
        </is>
      </c>
      <c r="B112" s="1" t="n">
        <v>44610</v>
      </c>
      <c r="C112" s="1" t="n">
        <v>45844</v>
      </c>
      <c r="D112" t="inlineStr">
        <is>
          <t>VÄSTERBOTTENS LÄN</t>
        </is>
      </c>
      <c r="E112" t="inlineStr">
        <is>
          <t>VÄNNÄS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14222-2022</t>
        </is>
      </c>
      <c r="B113" s="1" t="n">
        <v>44651</v>
      </c>
      <c r="C113" s="1" t="n">
        <v>45844</v>
      </c>
      <c r="D113" t="inlineStr">
        <is>
          <t>VÄSTERBOTTENS LÄN</t>
        </is>
      </c>
      <c r="E113" t="inlineStr">
        <is>
          <t>VÄNNÄS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19082-2022</t>
        </is>
      </c>
      <c r="B114" s="1" t="n">
        <v>44691</v>
      </c>
      <c r="C114" s="1" t="n">
        <v>45844</v>
      </c>
      <c r="D114" t="inlineStr">
        <is>
          <t>VÄSTERBOTTENS LÄN</t>
        </is>
      </c>
      <c r="E114" t="inlineStr">
        <is>
          <t>VÄNNÄS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19093-2022</t>
        </is>
      </c>
      <c r="B115" s="1" t="n">
        <v>44691</v>
      </c>
      <c r="C115" s="1" t="n">
        <v>45844</v>
      </c>
      <c r="D115" t="inlineStr">
        <is>
          <t>VÄSTERBOTTENS LÄN</t>
        </is>
      </c>
      <c r="E115" t="inlineStr">
        <is>
          <t>VÄNNÄS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19100-2022</t>
        </is>
      </c>
      <c r="B116" s="1" t="n">
        <v>44691</v>
      </c>
      <c r="C116" s="1" t="n">
        <v>45844</v>
      </c>
      <c r="D116" t="inlineStr">
        <is>
          <t>VÄSTERBOTTENS LÄN</t>
        </is>
      </c>
      <c r="E116" t="inlineStr">
        <is>
          <t>VÄNNÄS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26385-2022</t>
        </is>
      </c>
      <c r="B117" s="1" t="n">
        <v>44735</v>
      </c>
      <c r="C117" s="1" t="n">
        <v>45844</v>
      </c>
      <c r="D117" t="inlineStr">
        <is>
          <t>VÄSTERBOTTENS LÄN</t>
        </is>
      </c>
      <c r="E117" t="inlineStr">
        <is>
          <t>VÄNNÄS</t>
        </is>
      </c>
      <c r="F117" t="inlineStr">
        <is>
          <t>Holmen skog AB</t>
        </is>
      </c>
      <c r="G117" t="n">
        <v>10.8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27605-2022</t>
        </is>
      </c>
      <c r="B118" s="1" t="n">
        <v>44742</v>
      </c>
      <c r="C118" s="1" t="n">
        <v>45844</v>
      </c>
      <c r="D118" t="inlineStr">
        <is>
          <t>VÄSTERBOTTENS LÄN</t>
        </is>
      </c>
      <c r="E118" t="inlineStr">
        <is>
          <t>VÄNNÄS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28347-2022</t>
        </is>
      </c>
      <c r="B119" s="1" t="n">
        <v>44747</v>
      </c>
      <c r="C119" s="1" t="n">
        <v>45844</v>
      </c>
      <c r="D119" t="inlineStr">
        <is>
          <t>VÄSTERBOTTENS LÄN</t>
        </is>
      </c>
      <c r="E119" t="inlineStr">
        <is>
          <t>VÄNNÄS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28337-2022</t>
        </is>
      </c>
      <c r="B120" s="1" t="n">
        <v>44747</v>
      </c>
      <c r="C120" s="1" t="n">
        <v>45844</v>
      </c>
      <c r="D120" t="inlineStr">
        <is>
          <t>VÄSTERBOTTENS LÄN</t>
        </is>
      </c>
      <c r="E120" t="inlineStr">
        <is>
          <t>VÄNNÄS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28367-2022</t>
        </is>
      </c>
      <c r="B121" s="1" t="n">
        <v>44747</v>
      </c>
      <c r="C121" s="1" t="n">
        <v>45844</v>
      </c>
      <c r="D121" t="inlineStr">
        <is>
          <t>VÄSTERBOTTENS LÄN</t>
        </is>
      </c>
      <c r="E121" t="inlineStr">
        <is>
          <t>VÄNNÄS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33981-2022</t>
        </is>
      </c>
      <c r="B122" s="1" t="n">
        <v>44791</v>
      </c>
      <c r="C122" s="1" t="n">
        <v>45844</v>
      </c>
      <c r="D122" t="inlineStr">
        <is>
          <t>VÄSTERBOTTENS LÄN</t>
        </is>
      </c>
      <c r="E122" t="inlineStr">
        <is>
          <t>VÄNNÄS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38953-2022</t>
        </is>
      </c>
      <c r="B123" s="1" t="n">
        <v>44816</v>
      </c>
      <c r="C123" s="1" t="n">
        <v>45844</v>
      </c>
      <c r="D123" t="inlineStr">
        <is>
          <t>VÄSTERBOTTENS LÄN</t>
        </is>
      </c>
      <c r="E123" t="inlineStr">
        <is>
          <t>VÄNNÄS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38956-2022</t>
        </is>
      </c>
      <c r="B124" s="1" t="n">
        <v>44816</v>
      </c>
      <c r="C124" s="1" t="n">
        <v>45844</v>
      </c>
      <c r="D124" t="inlineStr">
        <is>
          <t>VÄSTERBOTTENS LÄN</t>
        </is>
      </c>
      <c r="E124" t="inlineStr">
        <is>
          <t>VÄNNÄS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38962-2022</t>
        </is>
      </c>
      <c r="B125" s="1" t="n">
        <v>44816</v>
      </c>
      <c r="C125" s="1" t="n">
        <v>45844</v>
      </c>
      <c r="D125" t="inlineStr">
        <is>
          <t>VÄSTERBOTTENS LÄN</t>
        </is>
      </c>
      <c r="E125" t="inlineStr">
        <is>
          <t>VÄNNÄS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39581-2022</t>
        </is>
      </c>
      <c r="B126" s="1" t="n">
        <v>44816</v>
      </c>
      <c r="C126" s="1" t="n">
        <v>45844</v>
      </c>
      <c r="D126" t="inlineStr">
        <is>
          <t>VÄSTERBOTTENS LÄN</t>
        </is>
      </c>
      <c r="E126" t="inlineStr">
        <is>
          <t>VÄNNÄS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40526-2022</t>
        </is>
      </c>
      <c r="B127" s="1" t="n">
        <v>44819</v>
      </c>
      <c r="C127" s="1" t="n">
        <v>45844</v>
      </c>
      <c r="D127" t="inlineStr">
        <is>
          <t>VÄSTERBOTTENS LÄN</t>
        </is>
      </c>
      <c r="E127" t="inlineStr">
        <is>
          <t>VÄNNÄS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40188-2022</t>
        </is>
      </c>
      <c r="B128" s="1" t="n">
        <v>44820</v>
      </c>
      <c r="C128" s="1" t="n">
        <v>45844</v>
      </c>
      <c r="D128" t="inlineStr">
        <is>
          <t>VÄSTERBOTTENS LÄN</t>
        </is>
      </c>
      <c r="E128" t="inlineStr">
        <is>
          <t>VÄNNÄS</t>
        </is>
      </c>
      <c r="F128" t="inlineStr">
        <is>
          <t>Holmen skog AB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40565-2022</t>
        </is>
      </c>
      <c r="B129" s="1" t="n">
        <v>44823</v>
      </c>
      <c r="C129" s="1" t="n">
        <v>45844</v>
      </c>
      <c r="D129" t="inlineStr">
        <is>
          <t>VÄSTERBOTTENS LÄN</t>
        </is>
      </c>
      <c r="E129" t="inlineStr">
        <is>
          <t>VÄNNÄS</t>
        </is>
      </c>
      <c r="F129" t="inlineStr">
        <is>
          <t>Holmen skog AB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41507-2022</t>
        </is>
      </c>
      <c r="B130" s="1" t="n">
        <v>44827</v>
      </c>
      <c r="C130" s="1" t="n">
        <v>45844</v>
      </c>
      <c r="D130" t="inlineStr">
        <is>
          <t>VÄSTERBOTTENS LÄN</t>
        </is>
      </c>
      <c r="E130" t="inlineStr">
        <is>
          <t>VÄNNÄS</t>
        </is>
      </c>
      <c r="F130" t="inlineStr">
        <is>
          <t>Holmen skog AB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46434-2022</t>
        </is>
      </c>
      <c r="B131" s="1" t="n">
        <v>44846</v>
      </c>
      <c r="C131" s="1" t="n">
        <v>45844</v>
      </c>
      <c r="D131" t="inlineStr">
        <is>
          <t>VÄSTERBOTTENS LÄN</t>
        </is>
      </c>
      <c r="E131" t="inlineStr">
        <is>
          <t>VÄNNÄS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47538-2022</t>
        </is>
      </c>
      <c r="B132" s="1" t="n">
        <v>44853</v>
      </c>
      <c r="C132" s="1" t="n">
        <v>45844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47976-2022</t>
        </is>
      </c>
      <c r="B133" s="1" t="n">
        <v>44853</v>
      </c>
      <c r="C133" s="1" t="n">
        <v>45844</v>
      </c>
      <c r="D133" t="inlineStr">
        <is>
          <t>VÄSTERBOTTENS LÄN</t>
        </is>
      </c>
      <c r="E133" t="inlineStr">
        <is>
          <t>VÄNNÄS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47767-2022</t>
        </is>
      </c>
      <c r="B134" s="1" t="n">
        <v>44854</v>
      </c>
      <c r="C134" s="1" t="n">
        <v>45844</v>
      </c>
      <c r="D134" t="inlineStr">
        <is>
          <t>VÄSTERBOTTENS LÄN</t>
        </is>
      </c>
      <c r="E134" t="inlineStr">
        <is>
          <t>VÄNNÄS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47772-2022</t>
        </is>
      </c>
      <c r="B135" s="1" t="n">
        <v>44855</v>
      </c>
      <c r="C135" s="1" t="n">
        <v>45844</v>
      </c>
      <c r="D135" t="inlineStr">
        <is>
          <t>VÄSTERBOTTENS LÄN</t>
        </is>
      </c>
      <c r="E135" t="inlineStr">
        <is>
          <t>VÄNNÄS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47771-2022</t>
        </is>
      </c>
      <c r="B136" s="1" t="n">
        <v>44854</v>
      </c>
      <c r="C136" s="1" t="n">
        <v>45844</v>
      </c>
      <c r="D136" t="inlineStr">
        <is>
          <t>VÄSTERBOTTENS LÄN</t>
        </is>
      </c>
      <c r="E136" t="inlineStr">
        <is>
          <t>VÄNNÄS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52672-2022</t>
        </is>
      </c>
      <c r="B137" s="1" t="n">
        <v>44874</v>
      </c>
      <c r="C137" s="1" t="n">
        <v>45844</v>
      </c>
      <c r="D137" t="inlineStr">
        <is>
          <t>VÄSTERBOTTENS LÄN</t>
        </is>
      </c>
      <c r="E137" t="inlineStr">
        <is>
          <t>VÄNNÄS</t>
        </is>
      </c>
      <c r="F137" t="inlineStr">
        <is>
          <t>Sveaskog</t>
        </is>
      </c>
      <c r="G137" t="n">
        <v>26.9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54814-2022</t>
        </is>
      </c>
      <c r="B138" s="1" t="n">
        <v>44883</v>
      </c>
      <c r="C138" s="1" t="n">
        <v>45844</v>
      </c>
      <c r="D138" t="inlineStr">
        <is>
          <t>VÄSTERBOTTENS LÄN</t>
        </is>
      </c>
      <c r="E138" t="inlineStr">
        <is>
          <t>VÄNNÄS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55833-2022</t>
        </is>
      </c>
      <c r="B139" s="1" t="n">
        <v>44888</v>
      </c>
      <c r="C139" s="1" t="n">
        <v>45844</v>
      </c>
      <c r="D139" t="inlineStr">
        <is>
          <t>VÄSTERBOTTENS LÄN</t>
        </is>
      </c>
      <c r="E139" t="inlineStr">
        <is>
          <t>VÄNNÄS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55831-2022</t>
        </is>
      </c>
      <c r="B140" s="1" t="n">
        <v>44888</v>
      </c>
      <c r="C140" s="1" t="n">
        <v>45844</v>
      </c>
      <c r="D140" t="inlineStr">
        <is>
          <t>VÄSTERBOTTENS LÄN</t>
        </is>
      </c>
      <c r="E140" t="inlineStr">
        <is>
          <t>VÄNNÄS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57459-2022</t>
        </is>
      </c>
      <c r="B141" s="1" t="n">
        <v>44889</v>
      </c>
      <c r="C141" s="1" t="n">
        <v>45844</v>
      </c>
      <c r="D141" t="inlineStr">
        <is>
          <t>VÄSTERBOTTENS LÄN</t>
        </is>
      </c>
      <c r="E141" t="inlineStr">
        <is>
          <t>VÄNNÄS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56326-2022</t>
        </is>
      </c>
      <c r="B142" s="1" t="n">
        <v>44890</v>
      </c>
      <c r="C142" s="1" t="n">
        <v>45844</v>
      </c>
      <c r="D142" t="inlineStr">
        <is>
          <t>VÄSTERBOTTENS LÄN</t>
        </is>
      </c>
      <c r="E142" t="inlineStr">
        <is>
          <t>VÄNNÄS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59090-2022</t>
        </is>
      </c>
      <c r="B143" s="1" t="n">
        <v>44897</v>
      </c>
      <c r="C143" s="1" t="n">
        <v>45844</v>
      </c>
      <c r="D143" t="inlineStr">
        <is>
          <t>VÄSTERBOTTENS LÄN</t>
        </is>
      </c>
      <c r="E143" t="inlineStr">
        <is>
          <t>VÄNNÄS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61755-2022</t>
        </is>
      </c>
      <c r="B144" s="1" t="n">
        <v>44911</v>
      </c>
      <c r="C144" s="1" t="n">
        <v>45844</v>
      </c>
      <c r="D144" t="inlineStr">
        <is>
          <t>VÄSTERBOTTENS LÄN</t>
        </is>
      </c>
      <c r="E144" t="inlineStr">
        <is>
          <t>VÄNNÄS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1058-2023</t>
        </is>
      </c>
      <c r="B145" s="1" t="n">
        <v>44929</v>
      </c>
      <c r="C145" s="1" t="n">
        <v>45844</v>
      </c>
      <c r="D145" t="inlineStr">
        <is>
          <t>VÄSTERBOTTENS LÄN</t>
        </is>
      </c>
      <c r="E145" t="inlineStr">
        <is>
          <t>VÄNNÄS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1000-2023</t>
        </is>
      </c>
      <c r="B146" s="1" t="n">
        <v>44935</v>
      </c>
      <c r="C146" s="1" t="n">
        <v>45844</v>
      </c>
      <c r="D146" t="inlineStr">
        <is>
          <t>VÄSTERBOTTENS LÄN</t>
        </is>
      </c>
      <c r="E146" t="inlineStr">
        <is>
          <t>VÄNNÄS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1006-2023</t>
        </is>
      </c>
      <c r="B147" s="1" t="n">
        <v>44935</v>
      </c>
      <c r="C147" s="1" t="n">
        <v>45844</v>
      </c>
      <c r="D147" t="inlineStr">
        <is>
          <t>VÄSTERBOTTENS LÄN</t>
        </is>
      </c>
      <c r="E147" t="inlineStr">
        <is>
          <t>VÄNNÄS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992-2023</t>
        </is>
      </c>
      <c r="B148" s="1" t="n">
        <v>44935</v>
      </c>
      <c r="C148" s="1" t="n">
        <v>45844</v>
      </c>
      <c r="D148" t="inlineStr">
        <is>
          <t>VÄSTERBOTTENS LÄN</t>
        </is>
      </c>
      <c r="E148" t="inlineStr">
        <is>
          <t>VÄNNÄS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2299-2023</t>
        </is>
      </c>
      <c r="B149" s="1" t="n">
        <v>44942</v>
      </c>
      <c r="C149" s="1" t="n">
        <v>45844</v>
      </c>
      <c r="D149" t="inlineStr">
        <is>
          <t>VÄSTERBOTTENS LÄN</t>
        </is>
      </c>
      <c r="E149" t="inlineStr">
        <is>
          <t>VÄNNÄS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3771-2023</t>
        </is>
      </c>
      <c r="B150" s="1" t="n">
        <v>44951</v>
      </c>
      <c r="C150" s="1" t="n">
        <v>45844</v>
      </c>
      <c r="D150" t="inlineStr">
        <is>
          <t>VÄSTERBOTTENS LÄN</t>
        </is>
      </c>
      <c r="E150" t="inlineStr">
        <is>
          <t>VÄNNÄS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4678-2023</t>
        </is>
      </c>
      <c r="B151" s="1" t="n">
        <v>44953</v>
      </c>
      <c r="C151" s="1" t="n">
        <v>45844</v>
      </c>
      <c r="D151" t="inlineStr">
        <is>
          <t>VÄSTERBOTTENS LÄN</t>
        </is>
      </c>
      <c r="E151" t="inlineStr">
        <is>
          <t>VÄNNÄS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4676-2023</t>
        </is>
      </c>
      <c r="B152" s="1" t="n">
        <v>44953</v>
      </c>
      <c r="C152" s="1" t="n">
        <v>45844</v>
      </c>
      <c r="D152" t="inlineStr">
        <is>
          <t>VÄSTERBOTTENS LÄN</t>
        </is>
      </c>
      <c r="E152" t="inlineStr">
        <is>
          <t>VÄNNÄS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4998-2023</t>
        </is>
      </c>
      <c r="B153" s="1" t="n">
        <v>44958</v>
      </c>
      <c r="C153" s="1" t="n">
        <v>45844</v>
      </c>
      <c r="D153" t="inlineStr">
        <is>
          <t>VÄSTERBOTTENS LÄN</t>
        </is>
      </c>
      <c r="E153" t="inlineStr">
        <is>
          <t>VÄNNÄS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4985-2023</t>
        </is>
      </c>
      <c r="B154" s="1" t="n">
        <v>44958</v>
      </c>
      <c r="C154" s="1" t="n">
        <v>45844</v>
      </c>
      <c r="D154" t="inlineStr">
        <is>
          <t>VÄSTERBOTTENS LÄN</t>
        </is>
      </c>
      <c r="E154" t="inlineStr">
        <is>
          <t>VÄNNÄS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7871-2023</t>
        </is>
      </c>
      <c r="B155" s="1" t="n">
        <v>44970</v>
      </c>
      <c r="C155" s="1" t="n">
        <v>45844</v>
      </c>
      <c r="D155" t="inlineStr">
        <is>
          <t>VÄSTERBOTTENS LÄN</t>
        </is>
      </c>
      <c r="E155" t="inlineStr">
        <is>
          <t>VÄNNÄS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9086-2023</t>
        </is>
      </c>
      <c r="B156" s="1" t="n">
        <v>44979</v>
      </c>
      <c r="C156" s="1" t="n">
        <v>45844</v>
      </c>
      <c r="D156" t="inlineStr">
        <is>
          <t>VÄSTERBOTTENS LÄN</t>
        </is>
      </c>
      <c r="E156" t="inlineStr">
        <is>
          <t>VÄNNÄS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9085-2023</t>
        </is>
      </c>
      <c r="B157" s="1" t="n">
        <v>44979</v>
      </c>
      <c r="C157" s="1" t="n">
        <v>45844</v>
      </c>
      <c r="D157" t="inlineStr">
        <is>
          <t>VÄSTERBOTTENS LÄN</t>
        </is>
      </c>
      <c r="E157" t="inlineStr">
        <is>
          <t>VÄNNÄS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10425-2023</t>
        </is>
      </c>
      <c r="B158" s="1" t="n">
        <v>44987</v>
      </c>
      <c r="C158" s="1" t="n">
        <v>45844</v>
      </c>
      <c r="D158" t="inlineStr">
        <is>
          <t>VÄSTERBOTTENS LÄN</t>
        </is>
      </c>
      <c r="E158" t="inlineStr">
        <is>
          <t>VÄNNÄS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10440-2023</t>
        </is>
      </c>
      <c r="B159" s="1" t="n">
        <v>44987</v>
      </c>
      <c r="C159" s="1" t="n">
        <v>45844</v>
      </c>
      <c r="D159" t="inlineStr">
        <is>
          <t>VÄSTERBOTTENS LÄN</t>
        </is>
      </c>
      <c r="E159" t="inlineStr">
        <is>
          <t>VÄNNÄS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10533-2023</t>
        </is>
      </c>
      <c r="B160" s="1" t="n">
        <v>44987</v>
      </c>
      <c r="C160" s="1" t="n">
        <v>45844</v>
      </c>
      <c r="D160" t="inlineStr">
        <is>
          <t>VÄSTERBOTTENS LÄN</t>
        </is>
      </c>
      <c r="E160" t="inlineStr">
        <is>
          <t>VÄNNÄS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10592-2023</t>
        </is>
      </c>
      <c r="B161" s="1" t="n">
        <v>44988</v>
      </c>
      <c r="C161" s="1" t="n">
        <v>45844</v>
      </c>
      <c r="D161" t="inlineStr">
        <is>
          <t>VÄSTERBOTTENS LÄN</t>
        </is>
      </c>
      <c r="E161" t="inlineStr">
        <is>
          <t>VÄNNÄS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13583-2023</t>
        </is>
      </c>
      <c r="B162" s="1" t="n">
        <v>45006</v>
      </c>
      <c r="C162" s="1" t="n">
        <v>45844</v>
      </c>
      <c r="D162" t="inlineStr">
        <is>
          <t>VÄSTERBOTTENS LÄN</t>
        </is>
      </c>
      <c r="E162" t="inlineStr">
        <is>
          <t>VÄNNÄS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14721-2023</t>
        </is>
      </c>
      <c r="B163" s="1" t="n">
        <v>45014</v>
      </c>
      <c r="C163" s="1" t="n">
        <v>45844</v>
      </c>
      <c r="D163" t="inlineStr">
        <is>
          <t>VÄSTERBOTTENS LÄN</t>
        </is>
      </c>
      <c r="E163" t="inlineStr">
        <is>
          <t>VÄNNÄS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14724-2023</t>
        </is>
      </c>
      <c r="B164" s="1" t="n">
        <v>45014</v>
      </c>
      <c r="C164" s="1" t="n">
        <v>45844</v>
      </c>
      <c r="D164" t="inlineStr">
        <is>
          <t>VÄSTERBOTTENS LÄN</t>
        </is>
      </c>
      <c r="E164" t="inlineStr">
        <is>
          <t>VÄNNÄS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15728-2023</t>
        </is>
      </c>
      <c r="B165" s="1" t="n">
        <v>45021</v>
      </c>
      <c r="C165" s="1" t="n">
        <v>45844</v>
      </c>
      <c r="D165" t="inlineStr">
        <is>
          <t>VÄSTERBOTTENS LÄN</t>
        </is>
      </c>
      <c r="E165" t="inlineStr">
        <is>
          <t>VÄNNÄS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17157-2023</t>
        </is>
      </c>
      <c r="B166" s="1" t="n">
        <v>45034</v>
      </c>
      <c r="C166" s="1" t="n">
        <v>45844</v>
      </c>
      <c r="D166" t="inlineStr">
        <is>
          <t>VÄSTERBOTTENS LÄN</t>
        </is>
      </c>
      <c r="E166" t="inlineStr">
        <is>
          <t>VÄNNÄS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18671-2023</t>
        </is>
      </c>
      <c r="B167" s="1" t="n">
        <v>45041</v>
      </c>
      <c r="C167" s="1" t="n">
        <v>45844</v>
      </c>
      <c r="D167" t="inlineStr">
        <is>
          <t>VÄSTERBOTTENS LÄN</t>
        </is>
      </c>
      <c r="E167" t="inlineStr">
        <is>
          <t>VÄNNÄS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20228-2023</t>
        </is>
      </c>
      <c r="B168" s="1" t="n">
        <v>45055</v>
      </c>
      <c r="C168" s="1" t="n">
        <v>45844</v>
      </c>
      <c r="D168" t="inlineStr">
        <is>
          <t>VÄSTERBOTTENS LÄN</t>
        </is>
      </c>
      <c r="E168" t="inlineStr">
        <is>
          <t>VÄNNÄS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20792-2023</t>
        </is>
      </c>
      <c r="B169" s="1" t="n">
        <v>45058</v>
      </c>
      <c r="C169" s="1" t="n">
        <v>45844</v>
      </c>
      <c r="D169" t="inlineStr">
        <is>
          <t>VÄSTERBOTTENS LÄN</t>
        </is>
      </c>
      <c r="E169" t="inlineStr">
        <is>
          <t>VÄNNÄS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22002-2023</t>
        </is>
      </c>
      <c r="B170" s="1" t="n">
        <v>45069</v>
      </c>
      <c r="C170" s="1" t="n">
        <v>45844</v>
      </c>
      <c r="D170" t="inlineStr">
        <is>
          <t>VÄSTERBOTTENS LÄN</t>
        </is>
      </c>
      <c r="E170" t="inlineStr">
        <is>
          <t>VÄNNÄS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22193-2023</t>
        </is>
      </c>
      <c r="B171" s="1" t="n">
        <v>45069</v>
      </c>
      <c r="C171" s="1" t="n">
        <v>45844</v>
      </c>
      <c r="D171" t="inlineStr">
        <is>
          <t>VÄSTERBOTTENS LÄN</t>
        </is>
      </c>
      <c r="E171" t="inlineStr">
        <is>
          <t>VÄNNÄS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22799-2023</t>
        </is>
      </c>
      <c r="B172" s="1" t="n">
        <v>45070</v>
      </c>
      <c r="C172" s="1" t="n">
        <v>45844</v>
      </c>
      <c r="D172" t="inlineStr">
        <is>
          <t>VÄSTERBOTTENS LÄN</t>
        </is>
      </c>
      <c r="E172" t="inlineStr">
        <is>
          <t>VÄNNÄS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23053-2023</t>
        </is>
      </c>
      <c r="B173" s="1" t="n">
        <v>45070</v>
      </c>
      <c r="C173" s="1" t="n">
        <v>45844</v>
      </c>
      <c r="D173" t="inlineStr">
        <is>
          <t>VÄSTERBOTTENS LÄN</t>
        </is>
      </c>
      <c r="E173" t="inlineStr">
        <is>
          <t>VÄNNÄS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22581-2023</t>
        </is>
      </c>
      <c r="B174" s="1" t="n">
        <v>45071</v>
      </c>
      <c r="C174" s="1" t="n">
        <v>45844</v>
      </c>
      <c r="D174" t="inlineStr">
        <is>
          <t>VÄSTERBOTTENS LÄN</t>
        </is>
      </c>
      <c r="E174" t="inlineStr">
        <is>
          <t>VÄNNÄS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24906-2023</t>
        </is>
      </c>
      <c r="B175" s="1" t="n">
        <v>45085</v>
      </c>
      <c r="C175" s="1" t="n">
        <v>45844</v>
      </c>
      <c r="D175" t="inlineStr">
        <is>
          <t>VÄSTERBOTTENS LÄN</t>
        </is>
      </c>
      <c r="E175" t="inlineStr">
        <is>
          <t>VÄNNÄS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26307-2023</t>
        </is>
      </c>
      <c r="B176" s="1" t="n">
        <v>45086</v>
      </c>
      <c r="C176" s="1" t="n">
        <v>45844</v>
      </c>
      <c r="D176" t="inlineStr">
        <is>
          <t>VÄSTERBOTTENS LÄN</t>
        </is>
      </c>
      <c r="E176" t="inlineStr">
        <is>
          <t>VÄNNÄS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26558-2023</t>
        </is>
      </c>
      <c r="B177" s="1" t="n">
        <v>45092</v>
      </c>
      <c r="C177" s="1" t="n">
        <v>45844</v>
      </c>
      <c r="D177" t="inlineStr">
        <is>
          <t>VÄSTERBOTTENS LÄN</t>
        </is>
      </c>
      <c r="E177" t="inlineStr">
        <is>
          <t>VÄNNÄS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26562-2023</t>
        </is>
      </c>
      <c r="B178" s="1" t="n">
        <v>45092</v>
      </c>
      <c r="C178" s="1" t="n">
        <v>45844</v>
      </c>
      <c r="D178" t="inlineStr">
        <is>
          <t>VÄSTERBOTTENS LÄN</t>
        </is>
      </c>
      <c r="E178" t="inlineStr">
        <is>
          <t>VÄNNÄS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29573-2023</t>
        </is>
      </c>
      <c r="B179" s="1" t="n">
        <v>45098</v>
      </c>
      <c r="C179" s="1" t="n">
        <v>45844</v>
      </c>
      <c r="D179" t="inlineStr">
        <is>
          <t>VÄSTERBOTTENS LÄN</t>
        </is>
      </c>
      <c r="E179" t="inlineStr">
        <is>
          <t>VÄNNÄS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30221-2023</t>
        </is>
      </c>
      <c r="B180" s="1" t="n">
        <v>45099</v>
      </c>
      <c r="C180" s="1" t="n">
        <v>45844</v>
      </c>
      <c r="D180" t="inlineStr">
        <is>
          <t>VÄSTERBOTTENS LÄN</t>
        </is>
      </c>
      <c r="E180" t="inlineStr">
        <is>
          <t>VÄNNÄS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31132-2023</t>
        </is>
      </c>
      <c r="B181" s="1" t="n">
        <v>45103</v>
      </c>
      <c r="C181" s="1" t="n">
        <v>45844</v>
      </c>
      <c r="D181" t="inlineStr">
        <is>
          <t>VÄSTERBOTTENS LÄN</t>
        </is>
      </c>
      <c r="E181" t="inlineStr">
        <is>
          <t>VÄNNÄS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28615-2023</t>
        </is>
      </c>
      <c r="B182" s="1" t="n">
        <v>45103</v>
      </c>
      <c r="C182" s="1" t="n">
        <v>45844</v>
      </c>
      <c r="D182" t="inlineStr">
        <is>
          <t>VÄSTERBOTTENS LÄN</t>
        </is>
      </c>
      <c r="E182" t="inlineStr">
        <is>
          <t>VÄNNÄS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31096-2023</t>
        </is>
      </c>
      <c r="B183" s="1" t="n">
        <v>45103</v>
      </c>
      <c r="C183" s="1" t="n">
        <v>45844</v>
      </c>
      <c r="D183" t="inlineStr">
        <is>
          <t>VÄSTERBOTTENS LÄN</t>
        </is>
      </c>
      <c r="E183" t="inlineStr">
        <is>
          <t>VÄNNÄS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31133-2023</t>
        </is>
      </c>
      <c r="B184" s="1" t="n">
        <v>45103</v>
      </c>
      <c r="C184" s="1" t="n">
        <v>45844</v>
      </c>
      <c r="D184" t="inlineStr">
        <is>
          <t>VÄSTERBOTTENS LÄN</t>
        </is>
      </c>
      <c r="E184" t="inlineStr">
        <is>
          <t>VÄNNÄS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31654-2023</t>
        </is>
      </c>
      <c r="B185" s="1" t="n">
        <v>45105</v>
      </c>
      <c r="C185" s="1" t="n">
        <v>45844</v>
      </c>
      <c r="D185" t="inlineStr">
        <is>
          <t>VÄSTERBOTTENS LÄN</t>
        </is>
      </c>
      <c r="E185" t="inlineStr">
        <is>
          <t>VÄNNÄS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29476-2023</t>
        </is>
      </c>
      <c r="B186" s="1" t="n">
        <v>45106</v>
      </c>
      <c r="C186" s="1" t="n">
        <v>45844</v>
      </c>
      <c r="D186" t="inlineStr">
        <is>
          <t>VÄSTERBOTTENS LÄN</t>
        </is>
      </c>
      <c r="E186" t="inlineStr">
        <is>
          <t>VÄNNÄS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29485-2023</t>
        </is>
      </c>
      <c r="B187" s="1" t="n">
        <v>45106</v>
      </c>
      <c r="C187" s="1" t="n">
        <v>45844</v>
      </c>
      <c r="D187" t="inlineStr">
        <is>
          <t>VÄSTERBOTTENS LÄN</t>
        </is>
      </c>
      <c r="E187" t="inlineStr">
        <is>
          <t>VÄNNÄS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31360-2023</t>
        </is>
      </c>
      <c r="B188" s="1" t="n">
        <v>45114</v>
      </c>
      <c r="C188" s="1" t="n">
        <v>45844</v>
      </c>
      <c r="D188" t="inlineStr">
        <is>
          <t>VÄSTERBOTTENS LÄN</t>
        </is>
      </c>
      <c r="E188" t="inlineStr">
        <is>
          <t>VÄNNÄS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31421-2023</t>
        </is>
      </c>
      <c r="B189" s="1" t="n">
        <v>45114</v>
      </c>
      <c r="C189" s="1" t="n">
        <v>45844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31865-2023</t>
        </is>
      </c>
      <c r="B190" s="1" t="n">
        <v>45118</v>
      </c>
      <c r="C190" s="1" t="n">
        <v>45844</v>
      </c>
      <c r="D190" t="inlineStr">
        <is>
          <t>VÄSTERBOTTENS LÄN</t>
        </is>
      </c>
      <c r="E190" t="inlineStr">
        <is>
          <t>VÄNNÄS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31869-2023</t>
        </is>
      </c>
      <c r="B191" s="1" t="n">
        <v>45118</v>
      </c>
      <c r="C191" s="1" t="n">
        <v>45844</v>
      </c>
      <c r="D191" t="inlineStr">
        <is>
          <t>VÄSTERBOTTENS LÄN</t>
        </is>
      </c>
      <c r="E191" t="inlineStr">
        <is>
          <t>VÄNNÄS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31867-2023</t>
        </is>
      </c>
      <c r="B192" s="1" t="n">
        <v>45118</v>
      </c>
      <c r="C192" s="1" t="n">
        <v>45844</v>
      </c>
      <c r="D192" t="inlineStr">
        <is>
          <t>VÄSTERBOTTENS LÄN</t>
        </is>
      </c>
      <c r="E192" t="inlineStr">
        <is>
          <t>VÄNNÄS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33319-2023</t>
        </is>
      </c>
      <c r="B193" s="1" t="n">
        <v>45127</v>
      </c>
      <c r="C193" s="1" t="n">
        <v>45844</v>
      </c>
      <c r="D193" t="inlineStr">
        <is>
          <t>VÄSTERBOTTENS LÄN</t>
        </is>
      </c>
      <c r="E193" t="inlineStr">
        <is>
          <t>VÄNNÄS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34760-2023</t>
        </is>
      </c>
      <c r="B194" s="1" t="n">
        <v>45139</v>
      </c>
      <c r="C194" s="1" t="n">
        <v>45844</v>
      </c>
      <c r="D194" t="inlineStr">
        <is>
          <t>VÄSTERBOTTENS LÄN</t>
        </is>
      </c>
      <c r="E194" t="inlineStr">
        <is>
          <t>VÄNNÄS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35123-2023</t>
        </is>
      </c>
      <c r="B195" s="1" t="n">
        <v>45145</v>
      </c>
      <c r="C195" s="1" t="n">
        <v>45844</v>
      </c>
      <c r="D195" t="inlineStr">
        <is>
          <t>VÄSTERBOTTENS LÄN</t>
        </is>
      </c>
      <c r="E195" t="inlineStr">
        <is>
          <t>VÄNNÄS</t>
        </is>
      </c>
      <c r="F195" t="inlineStr">
        <is>
          <t>Holmen skog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35349-2023</t>
        </is>
      </c>
      <c r="B196" s="1" t="n">
        <v>45146</v>
      </c>
      <c r="C196" s="1" t="n">
        <v>45844</v>
      </c>
      <c r="D196" t="inlineStr">
        <is>
          <t>VÄSTERBOTTENS LÄN</t>
        </is>
      </c>
      <c r="E196" t="inlineStr">
        <is>
          <t>VÄNNÄS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35354-2023</t>
        </is>
      </c>
      <c r="B197" s="1" t="n">
        <v>45146</v>
      </c>
      <c r="C197" s="1" t="n">
        <v>45844</v>
      </c>
      <c r="D197" t="inlineStr">
        <is>
          <t>VÄSTERBOTTENS LÄN</t>
        </is>
      </c>
      <c r="E197" t="inlineStr">
        <is>
          <t>VÄNNÄS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35360-2023</t>
        </is>
      </c>
      <c r="B198" s="1" t="n">
        <v>45146</v>
      </c>
      <c r="C198" s="1" t="n">
        <v>45844</v>
      </c>
      <c r="D198" t="inlineStr">
        <is>
          <t>VÄSTERBOTTENS LÄN</t>
        </is>
      </c>
      <c r="E198" t="inlineStr">
        <is>
          <t>VÄNNÄS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35351-2023</t>
        </is>
      </c>
      <c r="B199" s="1" t="n">
        <v>45146</v>
      </c>
      <c r="C199" s="1" t="n">
        <v>45844</v>
      </c>
      <c r="D199" t="inlineStr">
        <is>
          <t>VÄSTERBOTTENS LÄN</t>
        </is>
      </c>
      <c r="E199" t="inlineStr">
        <is>
          <t>VÄNNÄS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39629-2023</t>
        </is>
      </c>
      <c r="B200" s="1" t="n">
        <v>45167</v>
      </c>
      <c r="C200" s="1" t="n">
        <v>45844</v>
      </c>
      <c r="D200" t="inlineStr">
        <is>
          <t>VÄSTERBOTTENS LÄN</t>
        </is>
      </c>
      <c r="E200" t="inlineStr">
        <is>
          <t>VÄNNÄS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42317-2023</t>
        </is>
      </c>
      <c r="B201" s="1" t="n">
        <v>45175</v>
      </c>
      <c r="C201" s="1" t="n">
        <v>45844</v>
      </c>
      <c r="D201" t="inlineStr">
        <is>
          <t>VÄSTERBOTTENS LÄN</t>
        </is>
      </c>
      <c r="E201" t="inlineStr">
        <is>
          <t>VÄNNÄS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42327-2023</t>
        </is>
      </c>
      <c r="B202" s="1" t="n">
        <v>45175</v>
      </c>
      <c r="C202" s="1" t="n">
        <v>45844</v>
      </c>
      <c r="D202" t="inlineStr">
        <is>
          <t>VÄSTERBOTTENS LÄN</t>
        </is>
      </c>
      <c r="E202" t="inlineStr">
        <is>
          <t>VÄNNÄS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42141-2023</t>
        </is>
      </c>
      <c r="B203" s="1" t="n">
        <v>45177</v>
      </c>
      <c r="C203" s="1" t="n">
        <v>45844</v>
      </c>
      <c r="D203" t="inlineStr">
        <is>
          <t>VÄSTERBOTTENS LÄN</t>
        </is>
      </c>
      <c r="E203" t="inlineStr">
        <is>
          <t>VÄNNÄS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42537-2023</t>
        </is>
      </c>
      <c r="B204" s="1" t="n">
        <v>45181</v>
      </c>
      <c r="C204" s="1" t="n">
        <v>45844</v>
      </c>
      <c r="D204" t="inlineStr">
        <is>
          <t>VÄSTERBOTTENS LÄN</t>
        </is>
      </c>
      <c r="E204" t="inlineStr">
        <is>
          <t>VÄNNÄS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44319-2023</t>
        </is>
      </c>
      <c r="B205" s="1" t="n">
        <v>45183</v>
      </c>
      <c r="C205" s="1" t="n">
        <v>45844</v>
      </c>
      <c r="D205" t="inlineStr">
        <is>
          <t>VÄSTERBOTTENS LÄN</t>
        </is>
      </c>
      <c r="E205" t="inlineStr">
        <is>
          <t>VÄNNÄS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45126-2023</t>
        </is>
      </c>
      <c r="B206" s="1" t="n">
        <v>45187</v>
      </c>
      <c r="C206" s="1" t="n">
        <v>45844</v>
      </c>
      <c r="D206" t="inlineStr">
        <is>
          <t>VÄSTERBOTTENS LÄN</t>
        </is>
      </c>
      <c r="E206" t="inlineStr">
        <is>
          <t>VÄNNÄS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44140-2023</t>
        </is>
      </c>
      <c r="B207" s="1" t="n">
        <v>45188</v>
      </c>
      <c r="C207" s="1" t="n">
        <v>45844</v>
      </c>
      <c r="D207" t="inlineStr">
        <is>
          <t>VÄSTERBOTTENS LÄN</t>
        </is>
      </c>
      <c r="E207" t="inlineStr">
        <is>
          <t>VÄNNÄS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44295-2023</t>
        </is>
      </c>
      <c r="B208" s="1" t="n">
        <v>45188</v>
      </c>
      <c r="C208" s="1" t="n">
        <v>45844</v>
      </c>
      <c r="D208" t="inlineStr">
        <is>
          <t>VÄSTERBOTTENS LÄN</t>
        </is>
      </c>
      <c r="E208" t="inlineStr">
        <is>
          <t>VÄNNÄS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48047-2023</t>
        </is>
      </c>
      <c r="B209" s="1" t="n">
        <v>45204</v>
      </c>
      <c r="C209" s="1" t="n">
        <v>45844</v>
      </c>
      <c r="D209" t="inlineStr">
        <is>
          <t>VÄSTERBOTTENS LÄN</t>
        </is>
      </c>
      <c r="E209" t="inlineStr">
        <is>
          <t>VÄNNÄS</t>
        </is>
      </c>
      <c r="G209" t="n">
        <v>16.4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48049-2023</t>
        </is>
      </c>
      <c r="B210" s="1" t="n">
        <v>45204</v>
      </c>
      <c r="C210" s="1" t="n">
        <v>45844</v>
      </c>
      <c r="D210" t="inlineStr">
        <is>
          <t>VÄSTERBOTTENS LÄN</t>
        </is>
      </c>
      <c r="E210" t="inlineStr">
        <is>
          <t>VÄNNÄS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50131-2023</t>
        </is>
      </c>
      <c r="B211" s="1" t="n">
        <v>45208</v>
      </c>
      <c r="C211" s="1" t="n">
        <v>45844</v>
      </c>
      <c r="D211" t="inlineStr">
        <is>
          <t>VÄSTERBOTTENS LÄN</t>
        </is>
      </c>
      <c r="E211" t="inlineStr">
        <is>
          <t>VÄNNÄS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51062-2023</t>
        </is>
      </c>
      <c r="B212" s="1" t="n">
        <v>45218</v>
      </c>
      <c r="C212" s="1" t="n">
        <v>45844</v>
      </c>
      <c r="D212" t="inlineStr">
        <is>
          <t>VÄSTERBOTTENS LÄN</t>
        </is>
      </c>
      <c r="E212" t="inlineStr">
        <is>
          <t>VÄNNÄS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52536-2023</t>
        </is>
      </c>
      <c r="B213" s="1" t="n">
        <v>45218</v>
      </c>
      <c r="C213" s="1" t="n">
        <v>45844</v>
      </c>
      <c r="D213" t="inlineStr">
        <is>
          <t>VÄSTERBOTTENS LÄN</t>
        </is>
      </c>
      <c r="E213" t="inlineStr">
        <is>
          <t>VÄNNÄS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54793-2023</t>
        </is>
      </c>
      <c r="B214" s="1" t="n">
        <v>45229</v>
      </c>
      <c r="C214" s="1" t="n">
        <v>45844</v>
      </c>
      <c r="D214" t="inlineStr">
        <is>
          <t>VÄSTERBOTTENS LÄN</t>
        </is>
      </c>
      <c r="E214" t="inlineStr">
        <is>
          <t>VÄNNÄS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55273-2023</t>
        </is>
      </c>
      <c r="B215" s="1" t="n">
        <v>45231</v>
      </c>
      <c r="C215" s="1" t="n">
        <v>45844</v>
      </c>
      <c r="D215" t="inlineStr">
        <is>
          <t>VÄSTERBOTTENS LÄN</t>
        </is>
      </c>
      <c r="E215" t="inlineStr">
        <is>
          <t>VÄNNÄS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55262-2023</t>
        </is>
      </c>
      <c r="B216" s="1" t="n">
        <v>45231</v>
      </c>
      <c r="C216" s="1" t="n">
        <v>45844</v>
      </c>
      <c r="D216" t="inlineStr">
        <is>
          <t>VÄSTERBOTTENS LÄN</t>
        </is>
      </c>
      <c r="E216" t="inlineStr">
        <is>
          <t>VÄNNÄS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55444-2023</t>
        </is>
      </c>
      <c r="B217" s="1" t="n">
        <v>45231</v>
      </c>
      <c r="C217" s="1" t="n">
        <v>45844</v>
      </c>
      <c r="D217" t="inlineStr">
        <is>
          <t>VÄSTERBOTTENS LÄN</t>
        </is>
      </c>
      <c r="E217" t="inlineStr">
        <is>
          <t>VÄNNÄS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55173-2023</t>
        </is>
      </c>
      <c r="B218" s="1" t="n">
        <v>45237</v>
      </c>
      <c r="C218" s="1" t="n">
        <v>45844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57777-2023</t>
        </is>
      </c>
      <c r="B219" s="1" t="n">
        <v>45246</v>
      </c>
      <c r="C219" s="1" t="n">
        <v>45844</v>
      </c>
      <c r="D219" t="inlineStr">
        <is>
          <t>VÄSTERBOTTENS LÄN</t>
        </is>
      </c>
      <c r="E219" t="inlineStr">
        <is>
          <t>VÄNNÄS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58732-2023</t>
        </is>
      </c>
      <c r="B220" s="1" t="n">
        <v>45251</v>
      </c>
      <c r="C220" s="1" t="n">
        <v>45844</v>
      </c>
      <c r="D220" t="inlineStr">
        <is>
          <t>VÄSTERBOTTENS LÄN</t>
        </is>
      </c>
      <c r="E220" t="inlineStr">
        <is>
          <t>VÄNNÄS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58736-2023</t>
        </is>
      </c>
      <c r="B221" s="1" t="n">
        <v>45251</v>
      </c>
      <c r="C221" s="1" t="n">
        <v>45844</v>
      </c>
      <c r="D221" t="inlineStr">
        <is>
          <t>VÄSTERBOTTENS LÄN</t>
        </is>
      </c>
      <c r="E221" t="inlineStr">
        <is>
          <t>VÄNNÄS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58733-2023</t>
        </is>
      </c>
      <c r="B222" s="1" t="n">
        <v>45251</v>
      </c>
      <c r="C222" s="1" t="n">
        <v>45844</v>
      </c>
      <c r="D222" t="inlineStr">
        <is>
          <t>VÄSTERBOTTENS LÄN</t>
        </is>
      </c>
      <c r="E222" t="inlineStr">
        <is>
          <t>VÄNNÄS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58735-2023</t>
        </is>
      </c>
      <c r="B223" s="1" t="n">
        <v>45251</v>
      </c>
      <c r="C223" s="1" t="n">
        <v>45844</v>
      </c>
      <c r="D223" t="inlineStr">
        <is>
          <t>VÄSTERBOTTENS LÄN</t>
        </is>
      </c>
      <c r="E223" t="inlineStr">
        <is>
          <t>VÄNNÄS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59771-2023</t>
        </is>
      </c>
      <c r="B224" s="1" t="n">
        <v>45257</v>
      </c>
      <c r="C224" s="1" t="n">
        <v>45844</v>
      </c>
      <c r="D224" t="inlineStr">
        <is>
          <t>VÄSTERBOTTENS LÄN</t>
        </is>
      </c>
      <c r="E224" t="inlineStr">
        <is>
          <t>VÄNNÄS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60466-2023</t>
        </is>
      </c>
      <c r="B225" s="1" t="n">
        <v>45259</v>
      </c>
      <c r="C225" s="1" t="n">
        <v>45844</v>
      </c>
      <c r="D225" t="inlineStr">
        <is>
          <t>VÄSTERBOTTENS LÄN</t>
        </is>
      </c>
      <c r="E225" t="inlineStr">
        <is>
          <t>VÄNNÄS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60557-2023</t>
        </is>
      </c>
      <c r="B226" s="1" t="n">
        <v>45259</v>
      </c>
      <c r="C226" s="1" t="n">
        <v>45844</v>
      </c>
      <c r="D226" t="inlineStr">
        <is>
          <t>VÄSTERBOTTENS LÄN</t>
        </is>
      </c>
      <c r="E226" t="inlineStr">
        <is>
          <t>VÄNNÄS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60560-2023</t>
        </is>
      </c>
      <c r="B227" s="1" t="n">
        <v>45259</v>
      </c>
      <c r="C227" s="1" t="n">
        <v>45844</v>
      </c>
      <c r="D227" t="inlineStr">
        <is>
          <t>VÄSTERBOTTENS LÄN</t>
        </is>
      </c>
      <c r="E227" t="inlineStr">
        <is>
          <t>VÄNNÄS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60554-2023</t>
        </is>
      </c>
      <c r="B228" s="1" t="n">
        <v>45259</v>
      </c>
      <c r="C228" s="1" t="n">
        <v>45844</v>
      </c>
      <c r="D228" t="inlineStr">
        <is>
          <t>VÄSTERBOTTENS LÄN</t>
        </is>
      </c>
      <c r="E228" t="inlineStr">
        <is>
          <t>VÄNNÄS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62901-2023</t>
        </is>
      </c>
      <c r="B229" s="1" t="n">
        <v>45271</v>
      </c>
      <c r="C229" s="1" t="n">
        <v>45844</v>
      </c>
      <c r="D229" t="inlineStr">
        <is>
          <t>VÄSTERBOTTENS LÄN</t>
        </is>
      </c>
      <c r="E229" t="inlineStr">
        <is>
          <t>VÄNNÄS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62991-2023</t>
        </is>
      </c>
      <c r="B230" s="1" t="n">
        <v>45272</v>
      </c>
      <c r="C230" s="1" t="n">
        <v>45844</v>
      </c>
      <c r="D230" t="inlineStr">
        <is>
          <t>VÄSTERBOTTENS LÄN</t>
        </is>
      </c>
      <c r="E230" t="inlineStr">
        <is>
          <t>VÄNNÄS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63225-2023</t>
        </is>
      </c>
      <c r="B231" s="1" t="n">
        <v>45273</v>
      </c>
      <c r="C231" s="1" t="n">
        <v>45844</v>
      </c>
      <c r="D231" t="inlineStr">
        <is>
          <t>VÄSTERBOTTENS LÄN</t>
        </is>
      </c>
      <c r="E231" t="inlineStr">
        <is>
          <t>VÄNNÄS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63078-2023</t>
        </is>
      </c>
      <c r="B232" s="1" t="n">
        <v>45273</v>
      </c>
      <c r="C232" s="1" t="n">
        <v>45844</v>
      </c>
      <c r="D232" t="inlineStr">
        <is>
          <t>VÄSTERBOTTENS LÄN</t>
        </is>
      </c>
      <c r="E232" t="inlineStr">
        <is>
          <t>VÄNNÄS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63079-2023</t>
        </is>
      </c>
      <c r="B233" s="1" t="n">
        <v>45273</v>
      </c>
      <c r="C233" s="1" t="n">
        <v>45844</v>
      </c>
      <c r="D233" t="inlineStr">
        <is>
          <t>VÄSTERBOTTENS LÄN</t>
        </is>
      </c>
      <c r="E233" t="inlineStr">
        <is>
          <t>VÄNNÄS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63298-2023</t>
        </is>
      </c>
      <c r="B234" s="1" t="n">
        <v>45274</v>
      </c>
      <c r="C234" s="1" t="n">
        <v>45844</v>
      </c>
      <c r="D234" t="inlineStr">
        <is>
          <t>VÄSTERBOTTENS LÄN</t>
        </is>
      </c>
      <c r="E234" t="inlineStr">
        <is>
          <t>VÄNNÄS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63817-2023</t>
        </is>
      </c>
      <c r="B235" s="1" t="n">
        <v>45275</v>
      </c>
      <c r="C235" s="1" t="n">
        <v>45844</v>
      </c>
      <c r="D235" t="inlineStr">
        <is>
          <t>VÄSTERBOTTENS LÄN</t>
        </is>
      </c>
      <c r="E235" t="inlineStr">
        <is>
          <t>VÄNNÄS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64478-2023</t>
        </is>
      </c>
      <c r="B236" s="1" t="n">
        <v>45280</v>
      </c>
      <c r="C236" s="1" t="n">
        <v>45844</v>
      </c>
      <c r="D236" t="inlineStr">
        <is>
          <t>VÄSTERBOTTENS LÄN</t>
        </is>
      </c>
      <c r="E236" t="inlineStr">
        <is>
          <t>VÄNNÄS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64479-2023</t>
        </is>
      </c>
      <c r="B237" s="1" t="n">
        <v>45280</v>
      </c>
      <c r="C237" s="1" t="n">
        <v>45844</v>
      </c>
      <c r="D237" t="inlineStr">
        <is>
          <t>VÄSTERBOTTENS LÄN</t>
        </is>
      </c>
      <c r="E237" t="inlineStr">
        <is>
          <t>VÄNNÄS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64966-2023</t>
        </is>
      </c>
      <c r="B238" s="1" t="n">
        <v>45283</v>
      </c>
      <c r="C238" s="1" t="n">
        <v>45844</v>
      </c>
      <c r="D238" t="inlineStr">
        <is>
          <t>VÄSTERBOTTENS LÄN</t>
        </is>
      </c>
      <c r="E238" t="inlineStr">
        <is>
          <t>VÄNNÄS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2020-2024</t>
        </is>
      </c>
      <c r="B239" s="1" t="n">
        <v>45308</v>
      </c>
      <c r="C239" s="1" t="n">
        <v>45844</v>
      </c>
      <c r="D239" t="inlineStr">
        <is>
          <t>VÄSTERBOTTENS LÄN</t>
        </is>
      </c>
      <c r="E239" t="inlineStr">
        <is>
          <t>VÄNNÄS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4042-2024</t>
        </is>
      </c>
      <c r="B240" s="1" t="n">
        <v>45323</v>
      </c>
      <c r="C240" s="1" t="n">
        <v>45844</v>
      </c>
      <c r="D240" t="inlineStr">
        <is>
          <t>VÄSTERBOTTENS LÄN</t>
        </is>
      </c>
      <c r="E240" t="inlineStr">
        <is>
          <t>VÄNNÄS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9033-2024</t>
        </is>
      </c>
      <c r="B241" s="1" t="n">
        <v>45356</v>
      </c>
      <c r="C241" s="1" t="n">
        <v>45844</v>
      </c>
      <c r="D241" t="inlineStr">
        <is>
          <t>VÄSTERBOTTENS LÄN</t>
        </is>
      </c>
      <c r="E241" t="inlineStr">
        <is>
          <t>VÄNNÄS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9026-2024</t>
        </is>
      </c>
      <c r="B242" s="1" t="n">
        <v>45356</v>
      </c>
      <c r="C242" s="1" t="n">
        <v>45844</v>
      </c>
      <c r="D242" t="inlineStr">
        <is>
          <t>VÄSTERBOTTENS LÄN</t>
        </is>
      </c>
      <c r="E242" t="inlineStr">
        <is>
          <t>VÄNNÄS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9039-2024</t>
        </is>
      </c>
      <c r="B243" s="1" t="n">
        <v>45356</v>
      </c>
      <c r="C243" s="1" t="n">
        <v>45844</v>
      </c>
      <c r="D243" t="inlineStr">
        <is>
          <t>VÄSTERBOTTENS LÄN</t>
        </is>
      </c>
      <c r="E243" t="inlineStr">
        <is>
          <t>VÄNNÄS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8993-2024</t>
        </is>
      </c>
      <c r="B244" s="1" t="n">
        <v>45357</v>
      </c>
      <c r="C244" s="1" t="n">
        <v>45844</v>
      </c>
      <c r="D244" t="inlineStr">
        <is>
          <t>VÄSTERBOTTENS LÄN</t>
        </is>
      </c>
      <c r="E244" t="inlineStr">
        <is>
          <t>VÄNNÄS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8969-2024</t>
        </is>
      </c>
      <c r="B245" s="1" t="n">
        <v>45357</v>
      </c>
      <c r="C245" s="1" t="n">
        <v>45844</v>
      </c>
      <c r="D245" t="inlineStr">
        <is>
          <t>VÄSTERBOTTENS LÄN</t>
        </is>
      </c>
      <c r="E245" t="inlineStr">
        <is>
          <t>VÄNNÄS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8990-2024</t>
        </is>
      </c>
      <c r="B246" s="1" t="n">
        <v>45357</v>
      </c>
      <c r="C246" s="1" t="n">
        <v>45844</v>
      </c>
      <c r="D246" t="inlineStr">
        <is>
          <t>VÄSTERBOTTENS LÄN</t>
        </is>
      </c>
      <c r="E246" t="inlineStr">
        <is>
          <t>VÄNNÄS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9023-2024</t>
        </is>
      </c>
      <c r="B247" s="1" t="n">
        <v>45357</v>
      </c>
      <c r="C247" s="1" t="n">
        <v>45844</v>
      </c>
      <c r="D247" t="inlineStr">
        <is>
          <t>VÄSTERBOTTENS LÄN</t>
        </is>
      </c>
      <c r="E247" t="inlineStr">
        <is>
          <t>VÄNNÄS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9034-2024</t>
        </is>
      </c>
      <c r="B248" s="1" t="n">
        <v>45357</v>
      </c>
      <c r="C248" s="1" t="n">
        <v>45844</v>
      </c>
      <c r="D248" t="inlineStr">
        <is>
          <t>VÄSTERBOTTENS LÄN</t>
        </is>
      </c>
      <c r="E248" t="inlineStr">
        <is>
          <t>VÄNNÄS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9016-2024</t>
        </is>
      </c>
      <c r="B249" s="1" t="n">
        <v>45357</v>
      </c>
      <c r="C249" s="1" t="n">
        <v>45844</v>
      </c>
      <c r="D249" t="inlineStr">
        <is>
          <t>VÄSTERBOTTENS LÄN</t>
        </is>
      </c>
      <c r="E249" t="inlineStr">
        <is>
          <t>VÄNNÄS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9030-2024</t>
        </is>
      </c>
      <c r="B250" s="1" t="n">
        <v>45357</v>
      </c>
      <c r="C250" s="1" t="n">
        <v>45844</v>
      </c>
      <c r="D250" t="inlineStr">
        <is>
          <t>VÄSTERBOTTENS LÄN</t>
        </is>
      </c>
      <c r="E250" t="inlineStr">
        <is>
          <t>VÄNNÄS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11665-2024</t>
        </is>
      </c>
      <c r="B251" s="1" t="n">
        <v>45373</v>
      </c>
      <c r="C251" s="1" t="n">
        <v>45844</v>
      </c>
      <c r="D251" t="inlineStr">
        <is>
          <t>VÄSTERBOTTENS LÄN</t>
        </is>
      </c>
      <c r="E251" t="inlineStr">
        <is>
          <t>VÄNNÄS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11660-2024</t>
        </is>
      </c>
      <c r="B252" s="1" t="n">
        <v>45373</v>
      </c>
      <c r="C252" s="1" t="n">
        <v>45844</v>
      </c>
      <c r="D252" t="inlineStr">
        <is>
          <t>VÄSTERBOTTENS LÄN</t>
        </is>
      </c>
      <c r="E252" t="inlineStr">
        <is>
          <t>VÄNNÄS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13176-2024</t>
        </is>
      </c>
      <c r="B253" s="1" t="n">
        <v>45386</v>
      </c>
      <c r="C253" s="1" t="n">
        <v>45844</v>
      </c>
      <c r="D253" t="inlineStr">
        <is>
          <t>VÄSTERBOTTENS LÄN</t>
        </is>
      </c>
      <c r="E253" t="inlineStr">
        <is>
          <t>VÄNNÄS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13758-2024</t>
        </is>
      </c>
      <c r="B254" s="1" t="n">
        <v>45391</v>
      </c>
      <c r="C254" s="1" t="n">
        <v>45844</v>
      </c>
      <c r="D254" t="inlineStr">
        <is>
          <t>VÄSTERBOTTENS LÄN</t>
        </is>
      </c>
      <c r="E254" t="inlineStr">
        <is>
          <t>VÄNNÄS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15628-2024</t>
        </is>
      </c>
      <c r="B255" s="1" t="n">
        <v>45402</v>
      </c>
      <c r="C255" s="1" t="n">
        <v>45844</v>
      </c>
      <c r="D255" t="inlineStr">
        <is>
          <t>VÄSTERBOTTENS LÄN</t>
        </is>
      </c>
      <c r="E255" t="inlineStr">
        <is>
          <t>VÄNNÄS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16138-2024</t>
        </is>
      </c>
      <c r="B256" s="1" t="n">
        <v>45406</v>
      </c>
      <c r="C256" s="1" t="n">
        <v>45844</v>
      </c>
      <c r="D256" t="inlineStr">
        <is>
          <t>VÄSTERBOTTENS LÄN</t>
        </is>
      </c>
      <c r="E256" t="inlineStr">
        <is>
          <t>VÄNNÄS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16106-2024</t>
        </is>
      </c>
      <c r="B257" s="1" t="n">
        <v>45406</v>
      </c>
      <c r="C257" s="1" t="n">
        <v>45844</v>
      </c>
      <c r="D257" t="inlineStr">
        <is>
          <t>VÄSTERBOTTENS LÄN</t>
        </is>
      </c>
      <c r="E257" t="inlineStr">
        <is>
          <t>VÄNNÄS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16782-2024</t>
        </is>
      </c>
      <c r="B258" s="1" t="n">
        <v>45411</v>
      </c>
      <c r="C258" s="1" t="n">
        <v>45844</v>
      </c>
      <c r="D258" t="inlineStr">
        <is>
          <t>VÄSTERBOTTENS LÄN</t>
        </is>
      </c>
      <c r="E258" t="inlineStr">
        <is>
          <t>VÄNNÄS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17582-2024</t>
        </is>
      </c>
      <c r="B259" s="1" t="n">
        <v>45415</v>
      </c>
      <c r="C259" s="1" t="n">
        <v>45844</v>
      </c>
      <c r="D259" t="inlineStr">
        <is>
          <t>VÄSTERBOTTENS LÄN</t>
        </is>
      </c>
      <c r="E259" t="inlineStr">
        <is>
          <t>VÄNNÄS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17981-2024</t>
        </is>
      </c>
      <c r="B260" s="1" t="n">
        <v>45419</v>
      </c>
      <c r="C260" s="1" t="n">
        <v>45844</v>
      </c>
      <c r="D260" t="inlineStr">
        <is>
          <t>VÄSTERBOTTENS LÄN</t>
        </is>
      </c>
      <c r="E260" t="inlineStr">
        <is>
          <t>VÄNNÄS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18931-2024</t>
        </is>
      </c>
      <c r="B261" s="1" t="n">
        <v>45427</v>
      </c>
      <c r="C261" s="1" t="n">
        <v>45844</v>
      </c>
      <c r="D261" t="inlineStr">
        <is>
          <t>VÄSTERBOTTENS LÄN</t>
        </is>
      </c>
      <c r="E261" t="inlineStr">
        <is>
          <t>VÄNNÄS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20721-2024</t>
        </is>
      </c>
      <c r="B262" s="1" t="n">
        <v>45436</v>
      </c>
      <c r="C262" s="1" t="n">
        <v>45844</v>
      </c>
      <c r="D262" t="inlineStr">
        <is>
          <t>VÄSTERBOTTENS LÄN</t>
        </is>
      </c>
      <c r="E262" t="inlineStr">
        <is>
          <t>VÄNNÄS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21041-2024</t>
        </is>
      </c>
      <c r="B263" s="1" t="n">
        <v>45439</v>
      </c>
      <c r="C263" s="1" t="n">
        <v>45844</v>
      </c>
      <c r="D263" t="inlineStr">
        <is>
          <t>VÄSTERBOTTENS LÄN</t>
        </is>
      </c>
      <c r="E263" t="inlineStr">
        <is>
          <t>VÄNNÄS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21135-2024</t>
        </is>
      </c>
      <c r="B264" s="1" t="n">
        <v>45440</v>
      </c>
      <c r="C264" s="1" t="n">
        <v>45844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25347-2024</t>
        </is>
      </c>
      <c r="B265" s="1" t="n">
        <v>45462</v>
      </c>
      <c r="C265" s="1" t="n">
        <v>45844</v>
      </c>
      <c r="D265" t="inlineStr">
        <is>
          <t>VÄSTERBOTTENS LÄN</t>
        </is>
      </c>
      <c r="E265" t="inlineStr">
        <is>
          <t>VÄNNÄS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25453-2024</t>
        </is>
      </c>
      <c r="B266" s="1" t="n">
        <v>45463</v>
      </c>
      <c r="C266" s="1" t="n">
        <v>45844</v>
      </c>
      <c r="D266" t="inlineStr">
        <is>
          <t>VÄSTERBOTTENS LÄN</t>
        </is>
      </c>
      <c r="E266" t="inlineStr">
        <is>
          <t>VÄNNÄS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27029-2024</t>
        </is>
      </c>
      <c r="B267" s="1" t="n">
        <v>45471</v>
      </c>
      <c r="C267" s="1" t="n">
        <v>45844</v>
      </c>
      <c r="D267" t="inlineStr">
        <is>
          <t>VÄSTERBOTTENS LÄN</t>
        </is>
      </c>
      <c r="E267" t="inlineStr">
        <is>
          <t>VÄNNÄS</t>
        </is>
      </c>
      <c r="F267" t="inlineStr">
        <is>
          <t>Holmen skog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27079-2024</t>
        </is>
      </c>
      <c r="B268" s="1" t="n">
        <v>45471</v>
      </c>
      <c r="C268" s="1" t="n">
        <v>45844</v>
      </c>
      <c r="D268" t="inlineStr">
        <is>
          <t>VÄSTERBOTTENS LÄN</t>
        </is>
      </c>
      <c r="E268" t="inlineStr">
        <is>
          <t>VÄNNÄS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27195-2024</t>
        </is>
      </c>
      <c r="B269" s="1" t="n">
        <v>45471</v>
      </c>
      <c r="C269" s="1" t="n">
        <v>45844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27110-2024</t>
        </is>
      </c>
      <c r="B270" s="1" t="n">
        <v>45471</v>
      </c>
      <c r="C270" s="1" t="n">
        <v>45844</v>
      </c>
      <c r="D270" t="inlineStr">
        <is>
          <t>VÄSTERBOTTENS LÄN</t>
        </is>
      </c>
      <c r="E270" t="inlineStr">
        <is>
          <t>VÄNNÄS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27530-2024</t>
        </is>
      </c>
      <c r="B271" s="1" t="n">
        <v>45474</v>
      </c>
      <c r="C271" s="1" t="n">
        <v>45844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27624-2024</t>
        </is>
      </c>
      <c r="B272" s="1" t="n">
        <v>45475</v>
      </c>
      <c r="C272" s="1" t="n">
        <v>45844</v>
      </c>
      <c r="D272" t="inlineStr">
        <is>
          <t>VÄSTERBOTTENS LÄN</t>
        </is>
      </c>
      <c r="E272" t="inlineStr">
        <is>
          <t>VÄNNÄS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27505-2024</t>
        </is>
      </c>
      <c r="B273" s="1" t="n">
        <v>45474</v>
      </c>
      <c r="C273" s="1" t="n">
        <v>45844</v>
      </c>
      <c r="D273" t="inlineStr">
        <is>
          <t>VÄSTERBOTTENS LÄN</t>
        </is>
      </c>
      <c r="E273" t="inlineStr">
        <is>
          <t>VÄNNÄS</t>
        </is>
      </c>
      <c r="G273" t="n">
        <v>10.6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31264-2024</t>
        </is>
      </c>
      <c r="B274" s="1" t="n">
        <v>45504</v>
      </c>
      <c r="C274" s="1" t="n">
        <v>45844</v>
      </c>
      <c r="D274" t="inlineStr">
        <is>
          <t>VÄSTERBOTTENS LÄN</t>
        </is>
      </c>
      <c r="E274" t="inlineStr">
        <is>
          <t>VÄNNÄS</t>
        </is>
      </c>
      <c r="F274" t="inlineStr">
        <is>
          <t>Holmen skog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31277-2024</t>
        </is>
      </c>
      <c r="B275" s="1" t="n">
        <v>45504</v>
      </c>
      <c r="C275" s="1" t="n">
        <v>45844</v>
      </c>
      <c r="D275" t="inlineStr">
        <is>
          <t>VÄSTERBOTTENS LÄN</t>
        </is>
      </c>
      <c r="E275" t="inlineStr">
        <is>
          <t>VÄNNÄS</t>
        </is>
      </c>
      <c r="F275" t="inlineStr">
        <is>
          <t>Holmen skog AB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31699-2024</t>
        </is>
      </c>
      <c r="B276" s="1" t="n">
        <v>45508</v>
      </c>
      <c r="C276" s="1" t="n">
        <v>45844</v>
      </c>
      <c r="D276" t="inlineStr">
        <is>
          <t>VÄSTERBOTTENS LÄN</t>
        </is>
      </c>
      <c r="E276" t="inlineStr">
        <is>
          <t>VÄNNÄS</t>
        </is>
      </c>
      <c r="F276" t="inlineStr">
        <is>
          <t>Holmen skog AB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31817-2024</t>
        </is>
      </c>
      <c r="B277" s="1" t="n">
        <v>45509</v>
      </c>
      <c r="C277" s="1" t="n">
        <v>45844</v>
      </c>
      <c r="D277" t="inlineStr">
        <is>
          <t>VÄSTERBOTTENS LÄN</t>
        </is>
      </c>
      <c r="E277" t="inlineStr">
        <is>
          <t>VÄNNÄS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31839-2024</t>
        </is>
      </c>
      <c r="B278" s="1" t="n">
        <v>45509</v>
      </c>
      <c r="C278" s="1" t="n">
        <v>45844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32785-2024</t>
        </is>
      </c>
      <c r="B279" s="1" t="n">
        <v>45516</v>
      </c>
      <c r="C279" s="1" t="n">
        <v>45844</v>
      </c>
      <c r="D279" t="inlineStr">
        <is>
          <t>VÄSTERBOTTENS LÄN</t>
        </is>
      </c>
      <c r="E279" t="inlineStr">
        <is>
          <t>VÄNNÄS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32809-2024</t>
        </is>
      </c>
      <c r="B280" s="1" t="n">
        <v>45516</v>
      </c>
      <c r="C280" s="1" t="n">
        <v>45844</v>
      </c>
      <c r="D280" t="inlineStr">
        <is>
          <t>VÄSTERBOTTENS LÄN</t>
        </is>
      </c>
      <c r="E280" t="inlineStr">
        <is>
          <t>VÄNNÄS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32792-2024</t>
        </is>
      </c>
      <c r="B281" s="1" t="n">
        <v>45516</v>
      </c>
      <c r="C281" s="1" t="n">
        <v>45844</v>
      </c>
      <c r="D281" t="inlineStr">
        <is>
          <t>VÄSTERBOTTENS LÄN</t>
        </is>
      </c>
      <c r="E281" t="inlineStr">
        <is>
          <t>VÄNNÄS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32695-2024</t>
        </is>
      </c>
      <c r="B282" s="1" t="n">
        <v>45516</v>
      </c>
      <c r="C282" s="1" t="n">
        <v>45844</v>
      </c>
      <c r="D282" t="inlineStr">
        <is>
          <t>VÄSTERBOTTENS LÄN</t>
        </is>
      </c>
      <c r="E282" t="inlineStr">
        <is>
          <t>VÄNNÄS</t>
        </is>
      </c>
      <c r="F282" t="inlineStr">
        <is>
          <t>Holmen skog AB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32956-2024</t>
        </is>
      </c>
      <c r="B283" s="1" t="n">
        <v>45517</v>
      </c>
      <c r="C283" s="1" t="n">
        <v>45844</v>
      </c>
      <c r="D283" t="inlineStr">
        <is>
          <t>VÄSTERBOTTENS LÄN</t>
        </is>
      </c>
      <c r="E283" t="inlineStr">
        <is>
          <t>VÄNNÄS</t>
        </is>
      </c>
      <c r="F283" t="inlineStr">
        <is>
          <t>Holmen skog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33629-2024</t>
        </is>
      </c>
      <c r="B284" s="1" t="n">
        <v>45520</v>
      </c>
      <c r="C284" s="1" t="n">
        <v>45844</v>
      </c>
      <c r="D284" t="inlineStr">
        <is>
          <t>VÄSTERBOTTENS LÄN</t>
        </is>
      </c>
      <c r="E284" t="inlineStr">
        <is>
          <t>VÄNNÄS</t>
        </is>
      </c>
      <c r="F284" t="inlineStr">
        <is>
          <t>Sveaskog</t>
        </is>
      </c>
      <c r="G284" t="n">
        <v>14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33632-2024</t>
        </is>
      </c>
      <c r="B285" s="1" t="n">
        <v>45520</v>
      </c>
      <c r="C285" s="1" t="n">
        <v>45844</v>
      </c>
      <c r="D285" t="inlineStr">
        <is>
          <t>VÄSTERBOTTENS LÄN</t>
        </is>
      </c>
      <c r="E285" t="inlineStr">
        <is>
          <t>VÄNNÄS</t>
        </is>
      </c>
      <c r="F285" t="inlineStr">
        <is>
          <t>Sveaskog</t>
        </is>
      </c>
      <c r="G285" t="n">
        <v>9.300000000000001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35011-2024</t>
        </is>
      </c>
      <c r="B286" s="1" t="n">
        <v>45527</v>
      </c>
      <c r="C286" s="1" t="n">
        <v>45844</v>
      </c>
      <c r="D286" t="inlineStr">
        <is>
          <t>VÄSTERBOTTENS LÄN</t>
        </is>
      </c>
      <c r="E286" t="inlineStr">
        <is>
          <t>VÄNNÄS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35006-2024</t>
        </is>
      </c>
      <c r="B287" s="1" t="n">
        <v>45527</v>
      </c>
      <c r="C287" s="1" t="n">
        <v>45844</v>
      </c>
      <c r="D287" t="inlineStr">
        <is>
          <t>VÄSTERBOTTENS LÄN</t>
        </is>
      </c>
      <c r="E287" t="inlineStr">
        <is>
          <t>VÄNNÄS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35368-2024</t>
        </is>
      </c>
      <c r="B288" s="1" t="n">
        <v>45531</v>
      </c>
      <c r="C288" s="1" t="n">
        <v>45844</v>
      </c>
      <c r="D288" t="inlineStr">
        <is>
          <t>VÄSTERBOTTENS LÄN</t>
        </is>
      </c>
      <c r="E288" t="inlineStr">
        <is>
          <t>VÄNNÄS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35734-2024</t>
        </is>
      </c>
      <c r="B289" s="1" t="n">
        <v>45532</v>
      </c>
      <c r="C289" s="1" t="n">
        <v>45844</v>
      </c>
      <c r="D289" t="inlineStr">
        <is>
          <t>VÄSTERBOTTENS LÄN</t>
        </is>
      </c>
      <c r="E289" t="inlineStr">
        <is>
          <t>VÄNNÄS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35755-2024</t>
        </is>
      </c>
      <c r="B290" s="1" t="n">
        <v>45532</v>
      </c>
      <c r="C290" s="1" t="n">
        <v>45844</v>
      </c>
      <c r="D290" t="inlineStr">
        <is>
          <t>VÄSTERBOTTENS LÄN</t>
        </is>
      </c>
      <c r="E290" t="inlineStr">
        <is>
          <t>VÄNNÄS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35737-2024</t>
        </is>
      </c>
      <c r="B291" s="1" t="n">
        <v>45532</v>
      </c>
      <c r="C291" s="1" t="n">
        <v>45844</v>
      </c>
      <c r="D291" t="inlineStr">
        <is>
          <t>VÄSTERBOTTENS LÄN</t>
        </is>
      </c>
      <c r="E291" t="inlineStr">
        <is>
          <t>VÄNNÄS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35771-2024</t>
        </is>
      </c>
      <c r="B292" s="1" t="n">
        <v>45532</v>
      </c>
      <c r="C292" s="1" t="n">
        <v>45844</v>
      </c>
      <c r="D292" t="inlineStr">
        <is>
          <t>VÄSTERBOTTENS LÄN</t>
        </is>
      </c>
      <c r="E292" t="inlineStr">
        <is>
          <t>VÄNNÄS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39059-2024</t>
        </is>
      </c>
      <c r="B293" s="1" t="n">
        <v>45548</v>
      </c>
      <c r="C293" s="1" t="n">
        <v>45844</v>
      </c>
      <c r="D293" t="inlineStr">
        <is>
          <t>VÄSTERBOTTENS LÄN</t>
        </is>
      </c>
      <c r="E293" t="inlineStr">
        <is>
          <t>VÄNNÄS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39185-2024</t>
        </is>
      </c>
      <c r="B294" s="1" t="n">
        <v>45548</v>
      </c>
      <c r="C294" s="1" t="n">
        <v>45844</v>
      </c>
      <c r="D294" t="inlineStr">
        <is>
          <t>VÄSTERBOTTENS LÄN</t>
        </is>
      </c>
      <c r="E294" t="inlineStr">
        <is>
          <t>VÄNNÄS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39220-2024</t>
        </is>
      </c>
      <c r="B295" s="1" t="n">
        <v>45549</v>
      </c>
      <c r="C295" s="1" t="n">
        <v>45844</v>
      </c>
      <c r="D295" t="inlineStr">
        <is>
          <t>VÄSTERBOTTENS LÄN</t>
        </is>
      </c>
      <c r="E295" t="inlineStr">
        <is>
          <t>VÄNNÄS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39221-2024</t>
        </is>
      </c>
      <c r="B296" s="1" t="n">
        <v>45549</v>
      </c>
      <c r="C296" s="1" t="n">
        <v>45844</v>
      </c>
      <c r="D296" t="inlineStr">
        <is>
          <t>VÄSTERBOTTENS LÄN</t>
        </is>
      </c>
      <c r="E296" t="inlineStr">
        <is>
          <t>VÄNNÄS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39236-2024</t>
        </is>
      </c>
      <c r="B297" s="1" t="n">
        <v>45551</v>
      </c>
      <c r="C297" s="1" t="n">
        <v>45844</v>
      </c>
      <c r="D297" t="inlineStr">
        <is>
          <t>VÄSTERBOTTENS LÄN</t>
        </is>
      </c>
      <c r="E297" t="inlineStr">
        <is>
          <t>VÄNNÄS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41104-2024</t>
        </is>
      </c>
      <c r="B298" s="1" t="n">
        <v>45559</v>
      </c>
      <c r="C298" s="1" t="n">
        <v>45844</v>
      </c>
      <c r="D298" t="inlineStr">
        <is>
          <t>VÄSTERBOTTENS LÄN</t>
        </is>
      </c>
      <c r="E298" t="inlineStr">
        <is>
          <t>VÄNNÄS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41641-2024</t>
        </is>
      </c>
      <c r="B299" s="1" t="n">
        <v>45560</v>
      </c>
      <c r="C299" s="1" t="n">
        <v>45844</v>
      </c>
      <c r="D299" t="inlineStr">
        <is>
          <t>VÄSTERBOTTENS LÄN</t>
        </is>
      </c>
      <c r="E299" t="inlineStr">
        <is>
          <t>VÄNNÄS</t>
        </is>
      </c>
      <c r="G299" t="n">
        <v>10.3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43577-2024</t>
        </is>
      </c>
      <c r="B300" s="1" t="n">
        <v>45569</v>
      </c>
      <c r="C300" s="1" t="n">
        <v>45844</v>
      </c>
      <c r="D300" t="inlineStr">
        <is>
          <t>VÄSTERBOTTENS LÄN</t>
        </is>
      </c>
      <c r="E300" t="inlineStr">
        <is>
          <t>VÄNNÄS</t>
        </is>
      </c>
      <c r="G300" t="n">
        <v>9.6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44235-2024</t>
        </is>
      </c>
      <c r="B301" s="1" t="n">
        <v>45573</v>
      </c>
      <c r="C301" s="1" t="n">
        <v>45844</v>
      </c>
      <c r="D301" t="inlineStr">
        <is>
          <t>VÄSTERBOTTENS LÄN</t>
        </is>
      </c>
      <c r="E301" t="inlineStr">
        <is>
          <t>VÄNNÄS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44232-2024</t>
        </is>
      </c>
      <c r="B302" s="1" t="n">
        <v>45573</v>
      </c>
      <c r="C302" s="1" t="n">
        <v>45844</v>
      </c>
      <c r="D302" t="inlineStr">
        <is>
          <t>VÄSTERBOTTENS LÄN</t>
        </is>
      </c>
      <c r="E302" t="inlineStr">
        <is>
          <t>VÄNNÄS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45899-2024</t>
        </is>
      </c>
      <c r="B303" s="1" t="n">
        <v>45580</v>
      </c>
      <c r="C303" s="1" t="n">
        <v>45844</v>
      </c>
      <c r="D303" t="inlineStr">
        <is>
          <t>VÄSTERBOTTENS LÄN</t>
        </is>
      </c>
      <c r="E303" t="inlineStr">
        <is>
          <t>VÄNNÄS</t>
        </is>
      </c>
      <c r="F303" t="inlineStr">
        <is>
          <t>Holmen skog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46205-2024</t>
        </is>
      </c>
      <c r="B304" s="1" t="n">
        <v>45581</v>
      </c>
      <c r="C304" s="1" t="n">
        <v>45844</v>
      </c>
      <c r="D304" t="inlineStr">
        <is>
          <t>VÄSTERBOTTENS LÄN</t>
        </is>
      </c>
      <c r="E304" t="inlineStr">
        <is>
          <t>VÄNNÄS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46212-2024</t>
        </is>
      </c>
      <c r="B305" s="1" t="n">
        <v>45581</v>
      </c>
      <c r="C305" s="1" t="n">
        <v>45844</v>
      </c>
      <c r="D305" t="inlineStr">
        <is>
          <t>VÄSTERBOTTENS LÄN</t>
        </is>
      </c>
      <c r="E305" t="inlineStr">
        <is>
          <t>VÄNNÄS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46195-2024</t>
        </is>
      </c>
      <c r="B306" s="1" t="n">
        <v>45581</v>
      </c>
      <c r="C306" s="1" t="n">
        <v>45844</v>
      </c>
      <c r="D306" t="inlineStr">
        <is>
          <t>VÄSTERBOTTENS LÄN</t>
        </is>
      </c>
      <c r="E306" t="inlineStr">
        <is>
          <t>VÄNNÄS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46511-2024</t>
        </is>
      </c>
      <c r="B307" s="1" t="n">
        <v>45582</v>
      </c>
      <c r="C307" s="1" t="n">
        <v>45844</v>
      </c>
      <c r="D307" t="inlineStr">
        <is>
          <t>VÄSTERBOTTENS LÄN</t>
        </is>
      </c>
      <c r="E307" t="inlineStr">
        <is>
          <t>VÄNNÄS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46497-2024</t>
        </is>
      </c>
      <c r="B308" s="1" t="n">
        <v>45582</v>
      </c>
      <c r="C308" s="1" t="n">
        <v>45844</v>
      </c>
      <c r="D308" t="inlineStr">
        <is>
          <t>VÄSTERBOTTENS LÄN</t>
        </is>
      </c>
      <c r="E308" t="inlineStr">
        <is>
          <t>VÄNNÄS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46501-2024</t>
        </is>
      </c>
      <c r="B309" s="1" t="n">
        <v>45582</v>
      </c>
      <c r="C309" s="1" t="n">
        <v>45844</v>
      </c>
      <c r="D309" t="inlineStr">
        <is>
          <t>VÄSTERBOTTENS LÄN</t>
        </is>
      </c>
      <c r="E309" t="inlineStr">
        <is>
          <t>VÄNNÄS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46729-2024</t>
        </is>
      </c>
      <c r="B310" s="1" t="n">
        <v>45583</v>
      </c>
      <c r="C310" s="1" t="n">
        <v>45844</v>
      </c>
      <c r="D310" t="inlineStr">
        <is>
          <t>VÄSTERBOTTENS LÄN</t>
        </is>
      </c>
      <c r="E310" t="inlineStr">
        <is>
          <t>VÄNNÄS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46819-2024</t>
        </is>
      </c>
      <c r="B311" s="1" t="n">
        <v>45583</v>
      </c>
      <c r="C311" s="1" t="n">
        <v>45844</v>
      </c>
      <c r="D311" t="inlineStr">
        <is>
          <t>VÄSTERBOTTENS LÄN</t>
        </is>
      </c>
      <c r="E311" t="inlineStr">
        <is>
          <t>VÄNNÄS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46726-2024</t>
        </is>
      </c>
      <c r="B312" s="1" t="n">
        <v>45583</v>
      </c>
      <c r="C312" s="1" t="n">
        <v>45844</v>
      </c>
      <c r="D312" t="inlineStr">
        <is>
          <t>VÄSTERBOTTENS LÄN</t>
        </is>
      </c>
      <c r="E312" t="inlineStr">
        <is>
          <t>VÄNNÄS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47472-2024</t>
        </is>
      </c>
      <c r="B313" s="1" t="n">
        <v>45587</v>
      </c>
      <c r="C313" s="1" t="n">
        <v>45844</v>
      </c>
      <c r="D313" t="inlineStr">
        <is>
          <t>VÄSTERBOTTENS LÄN</t>
        </is>
      </c>
      <c r="E313" t="inlineStr">
        <is>
          <t>VÄNNÄS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48176-2024</t>
        </is>
      </c>
      <c r="B314" s="1" t="n">
        <v>45589</v>
      </c>
      <c r="C314" s="1" t="n">
        <v>45844</v>
      </c>
      <c r="D314" t="inlineStr">
        <is>
          <t>VÄSTERBOTTENS LÄN</t>
        </is>
      </c>
      <c r="E314" t="inlineStr">
        <is>
          <t>VÄNNÄS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48400-2024</t>
        </is>
      </c>
      <c r="B315" s="1" t="n">
        <v>45590</v>
      </c>
      <c r="C315" s="1" t="n">
        <v>45844</v>
      </c>
      <c r="D315" t="inlineStr">
        <is>
          <t>VÄSTERBOTTENS LÄN</t>
        </is>
      </c>
      <c r="E315" t="inlineStr">
        <is>
          <t>VÄNNÄS</t>
        </is>
      </c>
      <c r="F315" t="inlineStr">
        <is>
          <t>Holmen skog AB</t>
        </is>
      </c>
      <c r="G315" t="n">
        <v>8.5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49353-2024</t>
        </is>
      </c>
      <c r="B316" s="1" t="n">
        <v>45595</v>
      </c>
      <c r="C316" s="1" t="n">
        <v>45844</v>
      </c>
      <c r="D316" t="inlineStr">
        <is>
          <t>VÄSTERBOTTENS LÄN</t>
        </is>
      </c>
      <c r="E316" t="inlineStr">
        <is>
          <t>VÄNNÄS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50413-2024</t>
        </is>
      </c>
      <c r="B317" s="1" t="n">
        <v>45601</v>
      </c>
      <c r="C317" s="1" t="n">
        <v>45844</v>
      </c>
      <c r="D317" t="inlineStr">
        <is>
          <t>VÄSTERBOTTENS LÄN</t>
        </is>
      </c>
      <c r="E317" t="inlineStr">
        <is>
          <t>VÄNNÄS</t>
        </is>
      </c>
      <c r="F317" t="inlineStr">
        <is>
          <t>Holmen skog AB</t>
        </is>
      </c>
      <c r="G317" t="n">
        <v>23.4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50587-2024</t>
        </is>
      </c>
      <c r="B318" s="1" t="n">
        <v>45601</v>
      </c>
      <c r="C318" s="1" t="n">
        <v>45844</v>
      </c>
      <c r="D318" t="inlineStr">
        <is>
          <t>VÄSTERBOTTENS LÄN</t>
        </is>
      </c>
      <c r="E318" t="inlineStr">
        <is>
          <t>VÄNNÄS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52255-2024</t>
        </is>
      </c>
      <c r="B319" s="1" t="n">
        <v>45608</v>
      </c>
      <c r="C319" s="1" t="n">
        <v>45844</v>
      </c>
      <c r="D319" t="inlineStr">
        <is>
          <t>VÄSTERBOTTENS LÄN</t>
        </is>
      </c>
      <c r="E319" t="inlineStr">
        <is>
          <t>VÄNNÄS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52533-2024</t>
        </is>
      </c>
      <c r="B320" s="1" t="n">
        <v>45609</v>
      </c>
      <c r="C320" s="1" t="n">
        <v>45844</v>
      </c>
      <c r="D320" t="inlineStr">
        <is>
          <t>VÄSTERBOTTENS LÄN</t>
        </is>
      </c>
      <c r="E320" t="inlineStr">
        <is>
          <t>VÄNNÄS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52536-2024</t>
        </is>
      </c>
      <c r="B321" s="1" t="n">
        <v>45609</v>
      </c>
      <c r="C321" s="1" t="n">
        <v>45844</v>
      </c>
      <c r="D321" t="inlineStr">
        <is>
          <t>VÄSTERBOTTENS LÄN</t>
        </is>
      </c>
      <c r="E321" t="inlineStr">
        <is>
          <t>VÄNNÄS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52531-2024</t>
        </is>
      </c>
      <c r="B322" s="1" t="n">
        <v>45609</v>
      </c>
      <c r="C322" s="1" t="n">
        <v>45844</v>
      </c>
      <c r="D322" t="inlineStr">
        <is>
          <t>VÄSTERBOTTENS LÄN</t>
        </is>
      </c>
      <c r="E322" t="inlineStr">
        <is>
          <t>VÄNNÄS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53783-2024</t>
        </is>
      </c>
      <c r="B323" s="1" t="n">
        <v>45615</v>
      </c>
      <c r="C323" s="1" t="n">
        <v>45844</v>
      </c>
      <c r="D323" t="inlineStr">
        <is>
          <t>VÄSTERBOTTENS LÄN</t>
        </is>
      </c>
      <c r="E323" t="inlineStr">
        <is>
          <t>VÄNNÄS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53777-2024</t>
        </is>
      </c>
      <c r="B324" s="1" t="n">
        <v>45615</v>
      </c>
      <c r="C324" s="1" t="n">
        <v>45844</v>
      </c>
      <c r="D324" t="inlineStr">
        <is>
          <t>VÄSTERBOTTENS LÄN</t>
        </is>
      </c>
      <c r="E324" t="inlineStr">
        <is>
          <t>VÄNNÄS</t>
        </is>
      </c>
      <c r="G324" t="n">
        <v>10.4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55026-2024</t>
        </is>
      </c>
      <c r="B325" s="1" t="n">
        <v>45621</v>
      </c>
      <c r="C325" s="1" t="n">
        <v>45844</v>
      </c>
      <c r="D325" t="inlineStr">
        <is>
          <t>VÄSTERBOTTENS LÄN</t>
        </is>
      </c>
      <c r="E325" t="inlineStr">
        <is>
          <t>VÄNNÄS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56258-2024</t>
        </is>
      </c>
      <c r="B326" s="1" t="n">
        <v>45624</v>
      </c>
      <c r="C326" s="1" t="n">
        <v>45844</v>
      </c>
      <c r="D326" t="inlineStr">
        <is>
          <t>VÄSTERBOTTENS LÄN</t>
        </is>
      </c>
      <c r="E326" t="inlineStr">
        <is>
          <t>VÄNNÄS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56262-2024</t>
        </is>
      </c>
      <c r="B327" s="1" t="n">
        <v>45624</v>
      </c>
      <c r="C327" s="1" t="n">
        <v>45844</v>
      </c>
      <c r="D327" t="inlineStr">
        <is>
          <t>VÄSTERBOTTENS LÄN</t>
        </is>
      </c>
      <c r="E327" t="inlineStr">
        <is>
          <t>VÄNNÄS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56609-2024</t>
        </is>
      </c>
      <c r="B328" s="1" t="n">
        <v>45625</v>
      </c>
      <c r="C328" s="1" t="n">
        <v>45844</v>
      </c>
      <c r="D328" t="inlineStr">
        <is>
          <t>VÄSTERBOTTENS LÄN</t>
        </is>
      </c>
      <c r="E328" t="inlineStr">
        <is>
          <t>VÄNNÄS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58340-2024</t>
        </is>
      </c>
      <c r="B329" s="1" t="n">
        <v>45632</v>
      </c>
      <c r="C329" s="1" t="n">
        <v>45844</v>
      </c>
      <c r="D329" t="inlineStr">
        <is>
          <t>VÄSTERBOTTENS LÄN</t>
        </is>
      </c>
      <c r="E329" t="inlineStr">
        <is>
          <t>VÄNNÄS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58149-2024</t>
        </is>
      </c>
      <c r="B330" s="1" t="n">
        <v>45632</v>
      </c>
      <c r="C330" s="1" t="n">
        <v>45844</v>
      </c>
      <c r="D330" t="inlineStr">
        <is>
          <t>VÄSTERBOTTENS LÄN</t>
        </is>
      </c>
      <c r="E330" t="inlineStr">
        <is>
          <t>VÄNNÄS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59253-2024</t>
        </is>
      </c>
      <c r="B331" s="1" t="n">
        <v>45637</v>
      </c>
      <c r="C331" s="1" t="n">
        <v>45844</v>
      </c>
      <c r="D331" t="inlineStr">
        <is>
          <t>VÄSTERBOTTENS LÄN</t>
        </is>
      </c>
      <c r="E331" t="inlineStr">
        <is>
          <t>VÄNNÄS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59716-2024</t>
        </is>
      </c>
      <c r="B332" s="1" t="n">
        <v>45639</v>
      </c>
      <c r="C332" s="1" t="n">
        <v>45844</v>
      </c>
      <c r="D332" t="inlineStr">
        <is>
          <t>VÄSTERBOTTENS LÄN</t>
        </is>
      </c>
      <c r="E332" t="inlineStr">
        <is>
          <t>VÄNNÄS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60033-2024</t>
        </is>
      </c>
      <c r="B333" s="1" t="n">
        <v>45642</v>
      </c>
      <c r="C333" s="1" t="n">
        <v>45844</v>
      </c>
      <c r="D333" t="inlineStr">
        <is>
          <t>VÄSTERBOTTENS LÄN</t>
        </is>
      </c>
      <c r="E333" t="inlineStr">
        <is>
          <t>VÄNNÄS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60646-2024</t>
        </is>
      </c>
      <c r="B334" s="1" t="n">
        <v>45644</v>
      </c>
      <c r="C334" s="1" t="n">
        <v>45844</v>
      </c>
      <c r="D334" t="inlineStr">
        <is>
          <t>VÄSTERBOTTENS LÄN</t>
        </is>
      </c>
      <c r="E334" t="inlineStr">
        <is>
          <t>VÄNNÄS</t>
        </is>
      </c>
      <c r="F334" t="inlineStr">
        <is>
          <t>Holmen skog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60640-2024</t>
        </is>
      </c>
      <c r="B335" s="1" t="n">
        <v>45644</v>
      </c>
      <c r="C335" s="1" t="n">
        <v>45844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Holmen skog AB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47-2025</t>
        </is>
      </c>
      <c r="B336" s="1" t="n">
        <v>45659</v>
      </c>
      <c r="C336" s="1" t="n">
        <v>45844</v>
      </c>
      <c r="D336" t="inlineStr">
        <is>
          <t>VÄSTERBOTTENS LÄN</t>
        </is>
      </c>
      <c r="E336" t="inlineStr">
        <is>
          <t>VÄNNÄS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634-2025</t>
        </is>
      </c>
      <c r="B337" s="1" t="n">
        <v>45664</v>
      </c>
      <c r="C337" s="1" t="n">
        <v>45844</v>
      </c>
      <c r="D337" t="inlineStr">
        <is>
          <t>VÄSTERBOTTENS LÄN</t>
        </is>
      </c>
      <c r="E337" t="inlineStr">
        <is>
          <t>VÄNNÄS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1437-2025</t>
        </is>
      </c>
      <c r="B338" s="1" t="n">
        <v>45669</v>
      </c>
      <c r="C338" s="1" t="n">
        <v>45844</v>
      </c>
      <c r="D338" t="inlineStr">
        <is>
          <t>VÄSTERBOTTENS LÄN</t>
        </is>
      </c>
      <c r="E338" t="inlineStr">
        <is>
          <t>VÄNNÄS</t>
        </is>
      </c>
      <c r="G338" t="n">
        <v>11.7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1438-2025</t>
        </is>
      </c>
      <c r="B339" s="1" t="n">
        <v>45669</v>
      </c>
      <c r="C339" s="1" t="n">
        <v>45844</v>
      </c>
      <c r="D339" t="inlineStr">
        <is>
          <t>VÄSTERBOTTENS LÄN</t>
        </is>
      </c>
      <c r="E339" t="inlineStr">
        <is>
          <t>VÄNNÄS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2018-2025</t>
        </is>
      </c>
      <c r="B340" s="1" t="n">
        <v>45672</v>
      </c>
      <c r="C340" s="1" t="n">
        <v>45844</v>
      </c>
      <c r="D340" t="inlineStr">
        <is>
          <t>VÄSTERBOTTENS LÄN</t>
        </is>
      </c>
      <c r="E340" t="inlineStr">
        <is>
          <t>VÄNNÄS</t>
        </is>
      </c>
      <c r="F340" t="inlineStr">
        <is>
          <t>Kommuner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2020-2025</t>
        </is>
      </c>
      <c r="B341" s="1" t="n">
        <v>45672</v>
      </c>
      <c r="C341" s="1" t="n">
        <v>45844</v>
      </c>
      <c r="D341" t="inlineStr">
        <is>
          <t>VÄSTERBOTTENS LÄN</t>
        </is>
      </c>
      <c r="E341" t="inlineStr">
        <is>
          <t>VÄNNÄS</t>
        </is>
      </c>
      <c r="F341" t="inlineStr">
        <is>
          <t>Kommuner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2201-2025</t>
        </is>
      </c>
      <c r="B342" s="1" t="n">
        <v>45673</v>
      </c>
      <c r="C342" s="1" t="n">
        <v>45844</v>
      </c>
      <c r="D342" t="inlineStr">
        <is>
          <t>VÄSTERBOTTENS LÄN</t>
        </is>
      </c>
      <c r="E342" t="inlineStr">
        <is>
          <t>VÄNNÄS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2286-2025</t>
        </is>
      </c>
      <c r="B343" s="1" t="n">
        <v>45673</v>
      </c>
      <c r="C343" s="1" t="n">
        <v>45844</v>
      </c>
      <c r="D343" t="inlineStr">
        <is>
          <t>VÄSTERBOTTENS LÄN</t>
        </is>
      </c>
      <c r="E343" t="inlineStr">
        <is>
          <t>VÄNNÄS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2942-2025</t>
        </is>
      </c>
      <c r="B344" s="1" t="n">
        <v>45678</v>
      </c>
      <c r="C344" s="1" t="n">
        <v>45844</v>
      </c>
      <c r="D344" t="inlineStr">
        <is>
          <t>VÄSTERBOTTENS LÄN</t>
        </is>
      </c>
      <c r="E344" t="inlineStr">
        <is>
          <t>VÄNNÄS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3584-2025</t>
        </is>
      </c>
      <c r="B345" s="1" t="n">
        <v>45680</v>
      </c>
      <c r="C345" s="1" t="n">
        <v>45844</v>
      </c>
      <c r="D345" t="inlineStr">
        <is>
          <t>VÄSTERBOTTENS LÄN</t>
        </is>
      </c>
      <c r="E345" t="inlineStr">
        <is>
          <t>VÄNNÄS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6179-2025</t>
        </is>
      </c>
      <c r="B346" s="1" t="n">
        <v>45698</v>
      </c>
      <c r="C346" s="1" t="n">
        <v>45844</v>
      </c>
      <c r="D346" t="inlineStr">
        <is>
          <t>VÄSTERBOTTENS LÄN</t>
        </is>
      </c>
      <c r="E346" t="inlineStr">
        <is>
          <t>VÄNNÄS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6180-2025</t>
        </is>
      </c>
      <c r="B347" s="1" t="n">
        <v>45698</v>
      </c>
      <c r="C347" s="1" t="n">
        <v>45844</v>
      </c>
      <c r="D347" t="inlineStr">
        <is>
          <t>VÄSTERBOTTENS LÄN</t>
        </is>
      </c>
      <c r="E347" t="inlineStr">
        <is>
          <t>VÄNNÄS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8935-2025</t>
        </is>
      </c>
      <c r="B348" s="1" t="n">
        <v>45713</v>
      </c>
      <c r="C348" s="1" t="n">
        <v>45844</v>
      </c>
      <c r="D348" t="inlineStr">
        <is>
          <t>VÄSTERBOTTENS LÄN</t>
        </is>
      </c>
      <c r="E348" t="inlineStr">
        <is>
          <t>VÄNNÄS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8940-2025</t>
        </is>
      </c>
      <c r="B349" s="1" t="n">
        <v>45713</v>
      </c>
      <c r="C349" s="1" t="n">
        <v>45844</v>
      </c>
      <c r="D349" t="inlineStr">
        <is>
          <t>VÄSTERBOTTENS LÄN</t>
        </is>
      </c>
      <c r="E349" t="inlineStr">
        <is>
          <t>VÄNNÄS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8937-2025</t>
        </is>
      </c>
      <c r="B350" s="1" t="n">
        <v>45713</v>
      </c>
      <c r="C350" s="1" t="n">
        <v>45844</v>
      </c>
      <c r="D350" t="inlineStr">
        <is>
          <t>VÄSTERBOTTENS LÄN</t>
        </is>
      </c>
      <c r="E350" t="inlineStr">
        <is>
          <t>VÄNNÄS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8938-2025</t>
        </is>
      </c>
      <c r="B351" s="1" t="n">
        <v>45713</v>
      </c>
      <c r="C351" s="1" t="n">
        <v>45844</v>
      </c>
      <c r="D351" t="inlineStr">
        <is>
          <t>VÄSTERBOTTENS LÄN</t>
        </is>
      </c>
      <c r="E351" t="inlineStr">
        <is>
          <t>VÄNNÄS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8939-2025</t>
        </is>
      </c>
      <c r="B352" s="1" t="n">
        <v>45713</v>
      </c>
      <c r="C352" s="1" t="n">
        <v>45844</v>
      </c>
      <c r="D352" t="inlineStr">
        <is>
          <t>VÄSTERBOTTENS LÄN</t>
        </is>
      </c>
      <c r="E352" t="inlineStr">
        <is>
          <t>VÄNNÄS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12382-2025</t>
        </is>
      </c>
      <c r="B353" s="1" t="n">
        <v>45730</v>
      </c>
      <c r="C353" s="1" t="n">
        <v>45844</v>
      </c>
      <c r="D353" t="inlineStr">
        <is>
          <t>VÄSTERBOTTENS LÄN</t>
        </is>
      </c>
      <c r="E353" t="inlineStr">
        <is>
          <t>VÄNNÄS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12425-2025</t>
        </is>
      </c>
      <c r="B354" s="1" t="n">
        <v>45730</v>
      </c>
      <c r="C354" s="1" t="n">
        <v>45844</v>
      </c>
      <c r="D354" t="inlineStr">
        <is>
          <t>VÄSTERBOTTENS LÄN</t>
        </is>
      </c>
      <c r="E354" t="inlineStr">
        <is>
          <t>VÄNNÄS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12410-2025</t>
        </is>
      </c>
      <c r="B355" s="1" t="n">
        <v>45730</v>
      </c>
      <c r="C355" s="1" t="n">
        <v>45844</v>
      </c>
      <c r="D355" t="inlineStr">
        <is>
          <t>VÄSTERBOTTENS LÄN</t>
        </is>
      </c>
      <c r="E355" t="inlineStr">
        <is>
          <t>VÄNNÄS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12651-2025</t>
        </is>
      </c>
      <c r="B356" s="1" t="n">
        <v>45733</v>
      </c>
      <c r="C356" s="1" t="n">
        <v>45844</v>
      </c>
      <c r="D356" t="inlineStr">
        <is>
          <t>VÄSTERBOTTENS LÄN</t>
        </is>
      </c>
      <c r="E356" t="inlineStr">
        <is>
          <t>VÄNNÄS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12726-2025</t>
        </is>
      </c>
      <c r="B357" s="1" t="n">
        <v>45733</v>
      </c>
      <c r="C357" s="1" t="n">
        <v>45844</v>
      </c>
      <c r="D357" t="inlineStr">
        <is>
          <t>VÄSTERBOTTENS LÄN</t>
        </is>
      </c>
      <c r="E357" t="inlineStr">
        <is>
          <t>VÄNNÄS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12773-2025</t>
        </is>
      </c>
      <c r="B358" s="1" t="n">
        <v>45733</v>
      </c>
      <c r="C358" s="1" t="n">
        <v>45844</v>
      </c>
      <c r="D358" t="inlineStr">
        <is>
          <t>VÄSTERBOTTENS LÄN</t>
        </is>
      </c>
      <c r="E358" t="inlineStr">
        <is>
          <t>VÄNNÄS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13448-2025</t>
        </is>
      </c>
      <c r="B359" s="1" t="n">
        <v>45736</v>
      </c>
      <c r="C359" s="1" t="n">
        <v>45844</v>
      </c>
      <c r="D359" t="inlineStr">
        <is>
          <t>VÄSTERBOTTENS LÄN</t>
        </is>
      </c>
      <c r="E359" t="inlineStr">
        <is>
          <t>VÄNNÄS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13762-2025</t>
        </is>
      </c>
      <c r="B360" s="1" t="n">
        <v>45737</v>
      </c>
      <c r="C360" s="1" t="n">
        <v>45844</v>
      </c>
      <c r="D360" t="inlineStr">
        <is>
          <t>VÄSTERBOTTENS LÄN</t>
        </is>
      </c>
      <c r="E360" t="inlineStr">
        <is>
          <t>VÄNNÄS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15674-2025</t>
        </is>
      </c>
      <c r="B361" s="1" t="n">
        <v>45748</v>
      </c>
      <c r="C361" s="1" t="n">
        <v>45844</v>
      </c>
      <c r="D361" t="inlineStr">
        <is>
          <t>VÄSTERBOTTENS LÄN</t>
        </is>
      </c>
      <c r="E361" t="inlineStr">
        <is>
          <t>VÄNNÄS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15678-2025</t>
        </is>
      </c>
      <c r="B362" s="1" t="n">
        <v>45748</v>
      </c>
      <c r="C362" s="1" t="n">
        <v>45844</v>
      </c>
      <c r="D362" t="inlineStr">
        <is>
          <t>VÄSTERBOTTENS LÄN</t>
        </is>
      </c>
      <c r="E362" t="inlineStr">
        <is>
          <t>VÄNNÄS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16471-2025</t>
        </is>
      </c>
      <c r="B363" s="1" t="n">
        <v>45751</v>
      </c>
      <c r="C363" s="1" t="n">
        <v>45844</v>
      </c>
      <c r="D363" t="inlineStr">
        <is>
          <t>VÄSTERBOTTENS LÄN</t>
        </is>
      </c>
      <c r="E363" t="inlineStr">
        <is>
          <t>VÄNNÄS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17073-2025</t>
        </is>
      </c>
      <c r="B364" s="1" t="n">
        <v>45754</v>
      </c>
      <c r="C364" s="1" t="n">
        <v>45844</v>
      </c>
      <c r="D364" t="inlineStr">
        <is>
          <t>VÄSTERBOTTENS LÄN</t>
        </is>
      </c>
      <c r="E364" t="inlineStr">
        <is>
          <t>VÄNNÄS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17409-2025</t>
        </is>
      </c>
      <c r="B365" s="1" t="n">
        <v>45757</v>
      </c>
      <c r="C365" s="1" t="n">
        <v>45844</v>
      </c>
      <c r="D365" t="inlineStr">
        <is>
          <t>VÄSTERBOTTENS LÄN</t>
        </is>
      </c>
      <c r="E365" t="inlineStr">
        <is>
          <t>VÄNNÄS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17414-2025</t>
        </is>
      </c>
      <c r="B366" s="1" t="n">
        <v>45757</v>
      </c>
      <c r="C366" s="1" t="n">
        <v>45844</v>
      </c>
      <c r="D366" t="inlineStr">
        <is>
          <t>VÄSTERBOTTENS LÄN</t>
        </is>
      </c>
      <c r="E366" t="inlineStr">
        <is>
          <t>VÄNNÄS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18231-2025</t>
        </is>
      </c>
      <c r="B367" s="1" t="n">
        <v>45761</v>
      </c>
      <c r="C367" s="1" t="n">
        <v>45844</v>
      </c>
      <c r="D367" t="inlineStr">
        <is>
          <t>VÄSTERBOTTENS LÄN</t>
        </is>
      </c>
      <c r="E367" t="inlineStr">
        <is>
          <t>VÄNNÄS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18377-2025</t>
        </is>
      </c>
      <c r="B368" s="1" t="n">
        <v>45762</v>
      </c>
      <c r="C368" s="1" t="n">
        <v>45844</v>
      </c>
      <c r="D368" t="inlineStr">
        <is>
          <t>VÄSTERBOTTENS LÄN</t>
        </is>
      </c>
      <c r="E368" t="inlineStr">
        <is>
          <t>VÄNNÄS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18380-2025</t>
        </is>
      </c>
      <c r="B369" s="1" t="n">
        <v>45762</v>
      </c>
      <c r="C369" s="1" t="n">
        <v>45844</v>
      </c>
      <c r="D369" t="inlineStr">
        <is>
          <t>VÄSTERBOTTENS LÄN</t>
        </is>
      </c>
      <c r="E369" t="inlineStr">
        <is>
          <t>VÄNNÄS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19786-2025</t>
        </is>
      </c>
      <c r="B370" s="1" t="n">
        <v>45771</v>
      </c>
      <c r="C370" s="1" t="n">
        <v>45844</v>
      </c>
      <c r="D370" t="inlineStr">
        <is>
          <t>VÄSTERBOTTENS LÄN</t>
        </is>
      </c>
      <c r="E370" t="inlineStr">
        <is>
          <t>VÄNNÄS</t>
        </is>
      </c>
      <c r="F370" t="inlineStr">
        <is>
          <t>Holmen skog AB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19734-2025</t>
        </is>
      </c>
      <c r="B371" s="1" t="n">
        <v>45771</v>
      </c>
      <c r="C371" s="1" t="n">
        <v>45844</v>
      </c>
      <c r="D371" t="inlineStr">
        <is>
          <t>VÄSTERBOTTENS LÄN</t>
        </is>
      </c>
      <c r="E371" t="inlineStr">
        <is>
          <t>VÄNNÄS</t>
        </is>
      </c>
      <c r="F371" t="inlineStr">
        <is>
          <t>Holmen skog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20432-2025</t>
        </is>
      </c>
      <c r="B372" s="1" t="n">
        <v>45775</v>
      </c>
      <c r="C372" s="1" t="n">
        <v>45844</v>
      </c>
      <c r="D372" t="inlineStr">
        <is>
          <t>VÄSTERBOTTENS LÄN</t>
        </is>
      </c>
      <c r="E372" t="inlineStr">
        <is>
          <t>VÄNNÄS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20640-2025</t>
        </is>
      </c>
      <c r="B373" s="1" t="n">
        <v>45776</v>
      </c>
      <c r="C373" s="1" t="n">
        <v>45844</v>
      </c>
      <c r="D373" t="inlineStr">
        <is>
          <t>VÄSTERBOTTENS LÄN</t>
        </is>
      </c>
      <c r="E373" t="inlineStr">
        <is>
          <t>VÄNNÄS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21090-2025</t>
        </is>
      </c>
      <c r="B374" s="1" t="n">
        <v>45777</v>
      </c>
      <c r="C374" s="1" t="n">
        <v>45844</v>
      </c>
      <c r="D374" t="inlineStr">
        <is>
          <t>VÄSTERBOTTENS LÄN</t>
        </is>
      </c>
      <c r="E374" t="inlineStr">
        <is>
          <t>VÄNNÄS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21437-2025</t>
        </is>
      </c>
      <c r="B375" s="1" t="n">
        <v>45782</v>
      </c>
      <c r="C375" s="1" t="n">
        <v>45844</v>
      </c>
      <c r="D375" t="inlineStr">
        <is>
          <t>VÄSTERBOTTENS LÄN</t>
        </is>
      </c>
      <c r="E375" t="inlineStr">
        <is>
          <t>VÄNNÄS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21435-2025</t>
        </is>
      </c>
      <c r="B376" s="1" t="n">
        <v>45782</v>
      </c>
      <c r="C376" s="1" t="n">
        <v>45844</v>
      </c>
      <c r="D376" t="inlineStr">
        <is>
          <t>VÄSTERBOTTENS LÄN</t>
        </is>
      </c>
      <c r="E376" t="inlineStr">
        <is>
          <t>VÄNNÄS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21361-2025</t>
        </is>
      </c>
      <c r="B377" s="1" t="n">
        <v>45782</v>
      </c>
      <c r="C377" s="1" t="n">
        <v>45844</v>
      </c>
      <c r="D377" t="inlineStr">
        <is>
          <t>VÄSTERBOTTENS LÄN</t>
        </is>
      </c>
      <c r="E377" t="inlineStr">
        <is>
          <t>VÄNNÄS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21615-2025</t>
        </is>
      </c>
      <c r="B378" s="1" t="n">
        <v>45783</v>
      </c>
      <c r="C378" s="1" t="n">
        <v>45844</v>
      </c>
      <c r="D378" t="inlineStr">
        <is>
          <t>VÄSTERBOTTENS LÄN</t>
        </is>
      </c>
      <c r="E378" t="inlineStr">
        <is>
          <t>VÄNNÄS</t>
        </is>
      </c>
      <c r="F378" t="inlineStr">
        <is>
          <t>Holmen skog AB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22900-2025</t>
        </is>
      </c>
      <c r="B379" s="1" t="n">
        <v>45790</v>
      </c>
      <c r="C379" s="1" t="n">
        <v>45844</v>
      </c>
      <c r="D379" t="inlineStr">
        <is>
          <t>VÄSTERBOTTENS LÄN</t>
        </is>
      </c>
      <c r="E379" t="inlineStr">
        <is>
          <t>VÄNNÄS</t>
        </is>
      </c>
      <c r="F379" t="inlineStr">
        <is>
          <t>Holmen skog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23205-2025</t>
        </is>
      </c>
      <c r="B380" s="1" t="n">
        <v>45791</v>
      </c>
      <c r="C380" s="1" t="n">
        <v>45844</v>
      </c>
      <c r="D380" t="inlineStr">
        <is>
          <t>VÄSTERBOTTENS LÄN</t>
        </is>
      </c>
      <c r="E380" t="inlineStr">
        <is>
          <t>VÄNNÄS</t>
        </is>
      </c>
      <c r="F380" t="inlineStr">
        <is>
          <t>Holmen skog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23101-2025</t>
        </is>
      </c>
      <c r="B381" s="1" t="n">
        <v>45791</v>
      </c>
      <c r="C381" s="1" t="n">
        <v>45844</v>
      </c>
      <c r="D381" t="inlineStr">
        <is>
          <t>VÄSTERBOTTENS LÄN</t>
        </is>
      </c>
      <c r="E381" t="inlineStr">
        <is>
          <t>VÄNNÄS</t>
        </is>
      </c>
      <c r="F381" t="inlineStr">
        <is>
          <t>Holmen skog AB</t>
        </is>
      </c>
      <c r="G381" t="n">
        <v>8.199999999999999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23453-2025</t>
        </is>
      </c>
      <c r="B382" s="1" t="n">
        <v>45792</v>
      </c>
      <c r="C382" s="1" t="n">
        <v>45844</v>
      </c>
      <c r="D382" t="inlineStr">
        <is>
          <t>VÄSTERBOTTENS LÄN</t>
        </is>
      </c>
      <c r="E382" t="inlineStr">
        <is>
          <t>VÄNNÄS</t>
        </is>
      </c>
      <c r="F382" t="inlineStr">
        <is>
          <t>Holmen skog AB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23465-2025</t>
        </is>
      </c>
      <c r="B383" s="1" t="n">
        <v>45792</v>
      </c>
      <c r="C383" s="1" t="n">
        <v>45844</v>
      </c>
      <c r="D383" t="inlineStr">
        <is>
          <t>VÄSTERBOTTENS LÄN</t>
        </is>
      </c>
      <c r="E383" t="inlineStr">
        <is>
          <t>VÄNNÄS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23462-2025</t>
        </is>
      </c>
      <c r="B384" s="1" t="n">
        <v>45792</v>
      </c>
      <c r="C384" s="1" t="n">
        <v>45844</v>
      </c>
      <c r="D384" t="inlineStr">
        <is>
          <t>VÄSTERBOTTENS LÄN</t>
        </is>
      </c>
      <c r="E384" t="inlineStr">
        <is>
          <t>VÄNNÄS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23567-2025</t>
        </is>
      </c>
      <c r="B385" s="1" t="n">
        <v>45792</v>
      </c>
      <c r="C385" s="1" t="n">
        <v>45844</v>
      </c>
      <c r="D385" t="inlineStr">
        <is>
          <t>VÄSTERBOTTENS LÄN</t>
        </is>
      </c>
      <c r="E385" t="inlineStr">
        <is>
          <t>VÄNNÄS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23776-2025</t>
        </is>
      </c>
      <c r="B386" s="1" t="n">
        <v>45793</v>
      </c>
      <c r="C386" s="1" t="n">
        <v>45844</v>
      </c>
      <c r="D386" t="inlineStr">
        <is>
          <t>VÄSTERBOTTENS LÄN</t>
        </is>
      </c>
      <c r="E386" t="inlineStr">
        <is>
          <t>VÄNNÄS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24346-2025</t>
        </is>
      </c>
      <c r="B387" s="1" t="n">
        <v>45797</v>
      </c>
      <c r="C387" s="1" t="n">
        <v>45844</v>
      </c>
      <c r="D387" t="inlineStr">
        <is>
          <t>VÄSTERBOTTENS LÄN</t>
        </is>
      </c>
      <c r="E387" t="inlineStr">
        <is>
          <t>VÄNNÄS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24342-2025</t>
        </is>
      </c>
      <c r="B388" s="1" t="n">
        <v>45797</v>
      </c>
      <c r="C388" s="1" t="n">
        <v>45844</v>
      </c>
      <c r="D388" t="inlineStr">
        <is>
          <t>VÄSTERBOTTENS LÄN</t>
        </is>
      </c>
      <c r="E388" t="inlineStr">
        <is>
          <t>VÄNNÄS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24805-2025</t>
        </is>
      </c>
      <c r="B389" s="1" t="n">
        <v>45799</v>
      </c>
      <c r="C389" s="1" t="n">
        <v>45844</v>
      </c>
      <c r="D389" t="inlineStr">
        <is>
          <t>VÄSTERBOTTENS LÄN</t>
        </is>
      </c>
      <c r="E389" t="inlineStr">
        <is>
          <t>VÄNNÄS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24756-2025</t>
        </is>
      </c>
      <c r="B390" s="1" t="n">
        <v>45799</v>
      </c>
      <c r="C390" s="1" t="n">
        <v>45844</v>
      </c>
      <c r="D390" t="inlineStr">
        <is>
          <t>VÄSTERBOTTENS LÄN</t>
        </is>
      </c>
      <c r="E390" t="inlineStr">
        <is>
          <t>VÄNNÄS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24868-2025</t>
        </is>
      </c>
      <c r="B391" s="1" t="n">
        <v>45799</v>
      </c>
      <c r="C391" s="1" t="n">
        <v>45844</v>
      </c>
      <c r="D391" t="inlineStr">
        <is>
          <t>VÄSTERBOTTENS LÄN</t>
        </is>
      </c>
      <c r="E391" t="inlineStr">
        <is>
          <t>VÄNNÄS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24792-2025</t>
        </is>
      </c>
      <c r="B392" s="1" t="n">
        <v>45799</v>
      </c>
      <c r="C392" s="1" t="n">
        <v>45844</v>
      </c>
      <c r="D392" t="inlineStr">
        <is>
          <t>VÄSTERBOTTENS LÄN</t>
        </is>
      </c>
      <c r="E392" t="inlineStr">
        <is>
          <t>VÄNNÄS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24846-2025</t>
        </is>
      </c>
      <c r="B393" s="1" t="n">
        <v>45799</v>
      </c>
      <c r="C393" s="1" t="n">
        <v>45844</v>
      </c>
      <c r="D393" t="inlineStr">
        <is>
          <t>VÄSTERBOTTENS LÄN</t>
        </is>
      </c>
      <c r="E393" t="inlineStr">
        <is>
          <t>VÄNNÄS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24812-2025</t>
        </is>
      </c>
      <c r="B394" s="1" t="n">
        <v>45799</v>
      </c>
      <c r="C394" s="1" t="n">
        <v>45844</v>
      </c>
      <c r="D394" t="inlineStr">
        <is>
          <t>VÄSTERBOTTENS LÄN</t>
        </is>
      </c>
      <c r="E394" t="inlineStr">
        <is>
          <t>VÄNNÄS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24856-2025</t>
        </is>
      </c>
      <c r="B395" s="1" t="n">
        <v>45799</v>
      </c>
      <c r="C395" s="1" t="n">
        <v>45844</v>
      </c>
      <c r="D395" t="inlineStr">
        <is>
          <t>VÄSTERBOTTENS LÄN</t>
        </is>
      </c>
      <c r="E395" t="inlineStr">
        <is>
          <t>VÄNNÄS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25206-2025</t>
        </is>
      </c>
      <c r="B396" s="1" t="n">
        <v>45800</v>
      </c>
      <c r="C396" s="1" t="n">
        <v>45844</v>
      </c>
      <c r="D396" t="inlineStr">
        <is>
          <t>VÄSTERBOTTENS LÄN</t>
        </is>
      </c>
      <c r="E396" t="inlineStr">
        <is>
          <t>VÄNNÄS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25205-2025</t>
        </is>
      </c>
      <c r="B397" s="1" t="n">
        <v>45800</v>
      </c>
      <c r="C397" s="1" t="n">
        <v>45844</v>
      </c>
      <c r="D397" t="inlineStr">
        <is>
          <t>VÄSTERBOTTENS LÄN</t>
        </is>
      </c>
      <c r="E397" t="inlineStr">
        <is>
          <t>VÄNNÄS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26576-2025</t>
        </is>
      </c>
      <c r="B398" s="1" t="n">
        <v>45807</v>
      </c>
      <c r="C398" s="1" t="n">
        <v>45844</v>
      </c>
      <c r="D398" t="inlineStr">
        <is>
          <t>VÄSTERBOTTENS LÄN</t>
        </is>
      </c>
      <c r="E398" t="inlineStr">
        <is>
          <t>VÄNNÄS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26665-2025</t>
        </is>
      </c>
      <c r="B399" s="1" t="n">
        <v>45810</v>
      </c>
      <c r="C399" s="1" t="n">
        <v>45844</v>
      </c>
      <c r="D399" t="inlineStr">
        <is>
          <t>VÄSTERBOTTENS LÄN</t>
        </is>
      </c>
      <c r="E399" t="inlineStr">
        <is>
          <t>VÄNNÄS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28694-2025</t>
        </is>
      </c>
      <c r="B400" s="1" t="n">
        <v>45819</v>
      </c>
      <c r="C400" s="1" t="n">
        <v>45844</v>
      </c>
      <c r="D400" t="inlineStr">
        <is>
          <t>VÄSTERBOTTENS LÄN</t>
        </is>
      </c>
      <c r="E400" t="inlineStr">
        <is>
          <t>VÄNNÄS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29278-2025</t>
        </is>
      </c>
      <c r="B401" s="1" t="n">
        <v>45824</v>
      </c>
      <c r="C401" s="1" t="n">
        <v>45844</v>
      </c>
      <c r="D401" t="inlineStr">
        <is>
          <t>VÄSTERBOTTENS LÄN</t>
        </is>
      </c>
      <c r="E401" t="inlineStr">
        <is>
          <t>VÄNNÄS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29462-2025</t>
        </is>
      </c>
      <c r="B402" s="1" t="n">
        <v>45824</v>
      </c>
      <c r="C402" s="1" t="n">
        <v>45844</v>
      </c>
      <c r="D402" t="inlineStr">
        <is>
          <t>VÄSTERBOTTENS LÄN</t>
        </is>
      </c>
      <c r="E402" t="inlineStr">
        <is>
          <t>VÄNNÄS</t>
        </is>
      </c>
      <c r="G402" t="n">
        <v>11.1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29823-2025</t>
        </is>
      </c>
      <c r="B403" s="1" t="n">
        <v>45825</v>
      </c>
      <c r="C403" s="1" t="n">
        <v>45844</v>
      </c>
      <c r="D403" t="inlineStr">
        <is>
          <t>VÄSTERBOTTENS LÄN</t>
        </is>
      </c>
      <c r="E403" t="inlineStr">
        <is>
          <t>VÄNNÄS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29910-2025</t>
        </is>
      </c>
      <c r="B404" s="1" t="n">
        <v>45826</v>
      </c>
      <c r="C404" s="1" t="n">
        <v>45844</v>
      </c>
      <c r="D404" t="inlineStr">
        <is>
          <t>VÄSTERBOTTENS LÄN</t>
        </is>
      </c>
      <c r="E404" t="inlineStr">
        <is>
          <t>VÄNNÄS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29912-2025</t>
        </is>
      </c>
      <c r="B405" s="1" t="n">
        <v>45826</v>
      </c>
      <c r="C405" s="1" t="n">
        <v>45844</v>
      </c>
      <c r="D405" t="inlineStr">
        <is>
          <t>VÄSTERBOTTENS LÄN</t>
        </is>
      </c>
      <c r="E405" t="inlineStr">
        <is>
          <t>VÄNNÄS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30163-2025</t>
        </is>
      </c>
      <c r="B406" s="1" t="n">
        <v>45827</v>
      </c>
      <c r="C406" s="1" t="n">
        <v>45844</v>
      </c>
      <c r="D406" t="inlineStr">
        <is>
          <t>VÄSTERBOTTENS LÄN</t>
        </is>
      </c>
      <c r="E406" t="inlineStr">
        <is>
          <t>VÄNNÄS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>
      <c r="A407" t="inlineStr">
        <is>
          <t>A 31986-2025</t>
        </is>
      </c>
      <c r="B407" s="1" t="n">
        <v>45835</v>
      </c>
      <c r="C407" s="1" t="n">
        <v>45844</v>
      </c>
      <c r="D407" t="inlineStr">
        <is>
          <t>VÄSTERBOTTENS LÄN</t>
        </is>
      </c>
      <c r="E407" t="inlineStr">
        <is>
          <t>VÄNNÄS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2025-07-06T19:25:16Z</dcterms:created>
  <dcterms:modified xmlns:dcterms="http://purl.org/dc/terms/" xmlns:xsi="http://www.w3.org/2001/XMLSchema-instance" xsi:type="dcterms:W3CDTF">2025-07-06T19:25:17Z</dcterms:modified>
</cp:coreProperties>
</file>