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46021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46021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46021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21711-2025</t>
        </is>
      </c>
      <c r="B5" s="1" t="n">
        <v>45783</v>
      </c>
      <c r="C5" s="1" t="n">
        <v>46021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3.7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Spillkråka
Ullticka
Vedticka</t>
        </is>
      </c>
      <c r="S5">
        <f>HYPERLINK("https://klasma.github.io/Logging_2460/artfynd/A 21711-2025 artfynd.xlsx", "A 21711-2025")</f>
        <v/>
      </c>
      <c r="T5">
        <f>HYPERLINK("https://klasma.github.io/Logging_2460/kartor/A 21711-2025 karta.png", "A 21711-2025")</f>
        <v/>
      </c>
      <c r="V5">
        <f>HYPERLINK("https://klasma.github.io/Logging_2460/klagomål/A 21711-2025 FSC-klagomål.docx", "A 21711-2025")</f>
        <v/>
      </c>
      <c r="W5">
        <f>HYPERLINK("https://klasma.github.io/Logging_2460/klagomålsmail/A 21711-2025 FSC-klagomål mail.docx", "A 21711-2025")</f>
        <v/>
      </c>
      <c r="X5">
        <f>HYPERLINK("https://klasma.github.io/Logging_2460/tillsyn/A 21711-2025 tillsynsbegäran.docx", "A 21711-2025")</f>
        <v/>
      </c>
      <c r="Y5">
        <f>HYPERLINK("https://klasma.github.io/Logging_2460/tillsynsmail/A 21711-2025 tillsynsbegäran mail.docx", "A 21711-2025")</f>
        <v/>
      </c>
      <c r="Z5">
        <f>HYPERLINK("https://klasma.github.io/Logging_2460/fåglar/A 21711-2025 prioriterade fågelarter.docx", "A 21711-2025")</f>
        <v/>
      </c>
    </row>
    <row r="6" ht="15" customHeight="1">
      <c r="A6" t="inlineStr">
        <is>
          <t>A 19776-2025</t>
        </is>
      </c>
      <c r="B6" s="1" t="n">
        <v>45771.42275462963</v>
      </c>
      <c r="C6" s="1" t="n">
        <v>46021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1.3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Garnlav
Spillkråka
Gullgröppa
Vedticka</t>
        </is>
      </c>
      <c r="S6">
        <f>HYPERLINK("https://klasma.github.io/Logging_2460/artfynd/A 19776-2025 artfynd.xlsx", "A 19776-2025")</f>
        <v/>
      </c>
      <c r="T6">
        <f>HYPERLINK("https://klasma.github.io/Logging_2460/kartor/A 19776-2025 karta.png", "A 19776-2025")</f>
        <v/>
      </c>
      <c r="V6">
        <f>HYPERLINK("https://klasma.github.io/Logging_2460/klagomål/A 19776-2025 FSC-klagomål.docx", "A 19776-2025")</f>
        <v/>
      </c>
      <c r="W6">
        <f>HYPERLINK("https://klasma.github.io/Logging_2460/klagomålsmail/A 19776-2025 FSC-klagomål mail.docx", "A 19776-2025")</f>
        <v/>
      </c>
      <c r="X6">
        <f>HYPERLINK("https://klasma.github.io/Logging_2460/tillsyn/A 19776-2025 tillsynsbegäran.docx", "A 19776-2025")</f>
        <v/>
      </c>
      <c r="Y6">
        <f>HYPERLINK("https://klasma.github.io/Logging_2460/tillsynsmail/A 19776-2025 tillsynsbegäran mail.docx", "A 19776-2025")</f>
        <v/>
      </c>
      <c r="Z6">
        <f>HYPERLINK("https://klasma.github.io/Logging_2460/fåglar/A 19776-2025 prioriterade fågelarter.docx", "A 19776-2025")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46021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22648-2024</t>
        </is>
      </c>
      <c r="B8" s="1" t="n">
        <v>45447.89238425926</v>
      </c>
      <c r="C8" s="1" t="n">
        <v>46021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63573-2025</t>
        </is>
      </c>
      <c r="B9" s="1" t="n">
        <v>46013.66015046297</v>
      </c>
      <c r="C9" s="1" t="n">
        <v>46021</v>
      </c>
      <c r="D9" t="inlineStr">
        <is>
          <t>VÄSTERBOTTENS LÄN</t>
        </is>
      </c>
      <c r="E9" t="inlineStr">
        <is>
          <t>VÄNNÄS</t>
        </is>
      </c>
      <c r="G9" t="n">
        <v>1.3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Sotriska</t>
        </is>
      </c>
      <c r="S9">
        <f>HYPERLINK("https://klasma.github.io/Logging_2460/artfynd/A 63573-2025 artfynd.xlsx", "A 63573-2025")</f>
        <v/>
      </c>
      <c r="T9">
        <f>HYPERLINK("https://klasma.github.io/Logging_2460/kartor/A 63573-2025 karta.png", "A 63573-2025")</f>
        <v/>
      </c>
      <c r="V9">
        <f>HYPERLINK("https://klasma.github.io/Logging_2460/klagomål/A 63573-2025 FSC-klagomål.docx", "A 63573-2025")</f>
        <v/>
      </c>
      <c r="W9">
        <f>HYPERLINK("https://klasma.github.io/Logging_2460/klagomålsmail/A 63573-2025 FSC-klagomål mail.docx", "A 63573-2025")</f>
        <v/>
      </c>
      <c r="X9">
        <f>HYPERLINK("https://klasma.github.io/Logging_2460/tillsyn/A 63573-2025 tillsynsbegäran.docx", "A 63573-2025")</f>
        <v/>
      </c>
      <c r="Y9">
        <f>HYPERLINK("https://klasma.github.io/Logging_2460/tillsynsmail/A 63573-2025 tillsynsbegäran mail.docx", "A 63573-2025")</f>
        <v/>
      </c>
      <c r="Z9">
        <f>HYPERLINK("https://klasma.github.io/Logging_2460/fåglar/A 63573-2025 prioriterade fågelarter.docx", "A 63573-2025")</f>
        <v/>
      </c>
    </row>
    <row r="10" ht="15" customHeight="1">
      <c r="A10" t="inlineStr">
        <is>
          <t>A 6180-2025</t>
        </is>
      </c>
      <c r="B10" s="1" t="n">
        <v>45698.44841435185</v>
      </c>
      <c r="C10" s="1" t="n">
        <v>46021</v>
      </c>
      <c r="D10" t="inlineStr">
        <is>
          <t>VÄSTERBOTTENS LÄN</t>
        </is>
      </c>
      <c r="E10" t="inlineStr">
        <is>
          <t>VÄNNÄS</t>
        </is>
      </c>
      <c r="G10" t="n">
        <v>5.9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Thomsons trägnagare</t>
        </is>
      </c>
      <c r="S10">
        <f>HYPERLINK("https://klasma.github.io/Logging_2460/artfynd/A 6180-2025 artfynd.xlsx", "A 6180-2025")</f>
        <v/>
      </c>
      <c r="T10">
        <f>HYPERLINK("https://klasma.github.io/Logging_2460/kartor/A 6180-2025 karta.png", "A 6180-2025")</f>
        <v/>
      </c>
      <c r="V10">
        <f>HYPERLINK("https://klasma.github.io/Logging_2460/klagomål/A 6180-2025 FSC-klagomål.docx", "A 6180-2025")</f>
        <v/>
      </c>
      <c r="W10">
        <f>HYPERLINK("https://klasma.github.io/Logging_2460/klagomålsmail/A 6180-2025 FSC-klagomål mail.docx", "A 6180-2025")</f>
        <v/>
      </c>
      <c r="X10">
        <f>HYPERLINK("https://klasma.github.io/Logging_2460/tillsyn/A 6180-2025 tillsynsbegäran.docx", "A 6180-2025")</f>
        <v/>
      </c>
      <c r="Y10">
        <f>HYPERLINK("https://klasma.github.io/Logging_2460/tillsynsmail/A 6180-2025 tillsynsbegäran mail.docx", "A 6180-2025")</f>
        <v/>
      </c>
    </row>
    <row r="11" ht="15" customHeight="1">
      <c r="A11" t="inlineStr">
        <is>
          <t>A 57206-2025</t>
        </is>
      </c>
      <c r="B11" s="1" t="n">
        <v>45979.59435185185</v>
      </c>
      <c r="C11" s="1" t="n">
        <v>46021</v>
      </c>
      <c r="D11" t="inlineStr">
        <is>
          <t>VÄSTERBOTTENS LÄN</t>
        </is>
      </c>
      <c r="E11" t="inlineStr">
        <is>
          <t>VÄNNÄS</t>
        </is>
      </c>
      <c r="F11" t="inlineStr">
        <is>
          <t>Sveaskog</t>
        </is>
      </c>
      <c r="G11" t="n">
        <v>12.2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HYPERLINK("https://klasma.github.io/Logging_2460/artfynd/A 57206-2025 artfynd.xlsx", "A 57206-2025")</f>
        <v/>
      </c>
      <c r="T11">
        <f>HYPERLINK("https://klasma.github.io/Logging_2460/kartor/A 57206-2025 karta.png", "A 57206-2025")</f>
        <v/>
      </c>
      <c r="V11">
        <f>HYPERLINK("https://klasma.github.io/Logging_2460/klagomål/A 57206-2025 FSC-klagomål.docx", "A 57206-2025")</f>
        <v/>
      </c>
      <c r="W11">
        <f>HYPERLINK("https://klasma.github.io/Logging_2460/klagomålsmail/A 57206-2025 FSC-klagomål mail.docx", "A 57206-2025")</f>
        <v/>
      </c>
      <c r="X11">
        <f>HYPERLINK("https://klasma.github.io/Logging_2460/tillsyn/A 57206-2025 tillsynsbegäran.docx", "A 57206-2025")</f>
        <v/>
      </c>
      <c r="Y11">
        <f>HYPERLINK("https://klasma.github.io/Logging_2460/tillsynsmail/A 57206-2025 tillsynsbegäran mail.docx", "A 57206-2025")</f>
        <v/>
      </c>
    </row>
    <row r="12" ht="15" customHeight="1">
      <c r="A12" t="inlineStr">
        <is>
          <t>A 61224-2025</t>
        </is>
      </c>
      <c r="B12" s="1" t="n">
        <v>46000.62998842593</v>
      </c>
      <c r="C12" s="1" t="n">
        <v>46021</v>
      </c>
      <c r="D12" t="inlineStr">
        <is>
          <t>VÄSTERBOTTENS LÄN</t>
        </is>
      </c>
      <c r="E12" t="inlineStr">
        <is>
          <t>VÄNNÄS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Älvstarr</t>
        </is>
      </c>
      <c r="S12">
        <f>HYPERLINK("https://klasma.github.io/Logging_2460/artfynd/A 61224-2025 artfynd.xlsx", "A 61224-2025")</f>
        <v/>
      </c>
      <c r="T12">
        <f>HYPERLINK("https://klasma.github.io/Logging_2460/kartor/A 61224-2025 karta.png", "A 61224-2025")</f>
        <v/>
      </c>
      <c r="V12">
        <f>HYPERLINK("https://klasma.github.io/Logging_2460/klagomål/A 61224-2025 FSC-klagomål.docx", "A 61224-2025")</f>
        <v/>
      </c>
      <c r="W12">
        <f>HYPERLINK("https://klasma.github.io/Logging_2460/klagomålsmail/A 61224-2025 FSC-klagomål mail.docx", "A 61224-2025")</f>
        <v/>
      </c>
      <c r="X12">
        <f>HYPERLINK("https://klasma.github.io/Logging_2460/tillsyn/A 61224-2025 tillsynsbegäran.docx", "A 61224-2025")</f>
        <v/>
      </c>
      <c r="Y12">
        <f>HYPERLINK("https://klasma.github.io/Logging_2460/tillsynsmail/A 61224-2025 tillsynsbegäran mail.docx", "A 61224-2025")</f>
        <v/>
      </c>
    </row>
    <row r="13" ht="15" customHeight="1">
      <c r="A13" t="inlineStr">
        <is>
          <t>A 62418-2025</t>
        </is>
      </c>
      <c r="B13" s="1" t="n">
        <v>46007.44689814815</v>
      </c>
      <c r="C13" s="1" t="n">
        <v>46021</v>
      </c>
      <c r="D13" t="inlineStr">
        <is>
          <t>VÄSTERBOTTENS LÄN</t>
        </is>
      </c>
      <c r="E13" t="inlineStr">
        <is>
          <t>VÄNNÄS</t>
        </is>
      </c>
      <c r="G13" t="n">
        <v>3.1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HYPERLINK("https://klasma.github.io/Logging_2460/artfynd/A 62418-2025 artfynd.xlsx", "A 62418-2025")</f>
        <v/>
      </c>
      <c r="T13">
        <f>HYPERLINK("https://klasma.github.io/Logging_2460/kartor/A 62418-2025 karta.png", "A 62418-2025")</f>
        <v/>
      </c>
      <c r="V13">
        <f>HYPERLINK("https://klasma.github.io/Logging_2460/klagomål/A 62418-2025 FSC-klagomål.docx", "A 62418-2025")</f>
        <v/>
      </c>
      <c r="W13">
        <f>HYPERLINK("https://klasma.github.io/Logging_2460/klagomålsmail/A 62418-2025 FSC-klagomål mail.docx", "A 62418-2025")</f>
        <v/>
      </c>
      <c r="X13">
        <f>HYPERLINK("https://klasma.github.io/Logging_2460/tillsyn/A 62418-2025 tillsynsbegäran.docx", "A 62418-2025")</f>
        <v/>
      </c>
      <c r="Y13">
        <f>HYPERLINK("https://klasma.github.io/Logging_2460/tillsynsmail/A 62418-2025 tillsynsbegäran mail.docx", "A 62418-2025")</f>
        <v/>
      </c>
      <c r="Z13">
        <f>HYPERLINK("https://klasma.github.io/Logging_2460/fåglar/A 62418-2025 prioriterade fågelarter.docx", "A 62418-2025")</f>
        <v/>
      </c>
    </row>
    <row r="14" ht="15" customHeight="1">
      <c r="A14" t="inlineStr">
        <is>
          <t>A 63161-2025</t>
        </is>
      </c>
      <c r="B14" s="1" t="n">
        <v>46010.37401620371</v>
      </c>
      <c r="C14" s="1" t="n">
        <v>46021</v>
      </c>
      <c r="D14" t="inlineStr">
        <is>
          <t>VÄSTERBOTTENS LÄN</t>
        </is>
      </c>
      <c r="E14" t="inlineStr">
        <is>
          <t>VÄNNÄS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HYPERLINK("https://klasma.github.io/Logging_2460/artfynd/A 63161-2025 artfynd.xlsx", "A 63161-2025")</f>
        <v/>
      </c>
      <c r="T14">
        <f>HYPERLINK("https://klasma.github.io/Logging_2460/kartor/A 63161-2025 karta.png", "A 63161-2025")</f>
        <v/>
      </c>
      <c r="V14">
        <f>HYPERLINK("https://klasma.github.io/Logging_2460/klagomål/A 63161-2025 FSC-klagomål.docx", "A 63161-2025")</f>
        <v/>
      </c>
      <c r="W14">
        <f>HYPERLINK("https://klasma.github.io/Logging_2460/klagomålsmail/A 63161-2025 FSC-klagomål mail.docx", "A 63161-2025")</f>
        <v/>
      </c>
      <c r="X14">
        <f>HYPERLINK("https://klasma.github.io/Logging_2460/tillsyn/A 63161-2025 tillsynsbegäran.docx", "A 63161-2025")</f>
        <v/>
      </c>
      <c r="Y14">
        <f>HYPERLINK("https://klasma.github.io/Logging_2460/tillsynsmail/A 63161-2025 tillsynsbegäran mail.docx", "A 63161-2025")</f>
        <v/>
      </c>
    </row>
    <row r="15" ht="15" customHeight="1">
      <c r="A15" t="inlineStr">
        <is>
          <t>A 2594-2021</t>
        </is>
      </c>
      <c r="B15" s="1" t="n">
        <v>44214</v>
      </c>
      <c r="C15" s="1" t="n">
        <v>46021</v>
      </c>
      <c r="D15" t="inlineStr">
        <is>
          <t>VÄSTERBOTTENS LÄN</t>
        </is>
      </c>
      <c r="E15" t="inlineStr">
        <is>
          <t>VÄNNÄS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48890-2021</t>
        </is>
      </c>
      <c r="B16" s="1" t="n">
        <v>44452</v>
      </c>
      <c r="C16" s="1" t="n">
        <v>46021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46021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46021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46021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46021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46021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46021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46021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46021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46021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46021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28367-2022</t>
        </is>
      </c>
      <c r="B27" s="1" t="n">
        <v>44747</v>
      </c>
      <c r="C27" s="1" t="n">
        <v>46021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17073-2025</t>
        </is>
      </c>
      <c r="B28" s="1" t="n">
        <v>45754</v>
      </c>
      <c r="C28" s="1" t="n">
        <v>46021</v>
      </c>
      <c r="D28" t="inlineStr">
        <is>
          <t>VÄSTERBOTTENS LÄN</t>
        </is>
      </c>
      <c r="E28" t="inlineStr">
        <is>
          <t>VÄNNÄS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28347-2022</t>
        </is>
      </c>
      <c r="B29" s="1" t="n">
        <v>44747.45532407407</v>
      </c>
      <c r="C29" s="1" t="n">
        <v>46021</v>
      </c>
      <c r="D29" t="inlineStr">
        <is>
          <t>VÄSTERBOTTENS LÄN</t>
        </is>
      </c>
      <c r="E29" t="inlineStr">
        <is>
          <t>VÄNNÄS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1153-2021</t>
        </is>
      </c>
      <c r="B30" s="1" t="n">
        <v>44207</v>
      </c>
      <c r="C30" s="1" t="n">
        <v>46021</v>
      </c>
      <c r="D30" t="inlineStr">
        <is>
          <t>VÄSTERBOTTENS LÄN</t>
        </is>
      </c>
      <c r="E30" t="inlineStr">
        <is>
          <t>VÄNNÄS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67514-2021</t>
        </is>
      </c>
      <c r="B31" s="1" t="n">
        <v>44524.5028587963</v>
      </c>
      <c r="C31" s="1" t="n">
        <v>46021</v>
      </c>
      <c r="D31" t="inlineStr">
        <is>
          <t>VÄSTERBOTTENS LÄN</t>
        </is>
      </c>
      <c r="E31" t="inlineStr">
        <is>
          <t>VÄNNÄS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1437-2025</t>
        </is>
      </c>
      <c r="B32" s="1" t="n">
        <v>45669.67790509259</v>
      </c>
      <c r="C32" s="1" t="n">
        <v>46021</v>
      </c>
      <c r="D32" t="inlineStr">
        <is>
          <t>VÄSTERBOTTENS LÄN</t>
        </is>
      </c>
      <c r="E32" t="inlineStr">
        <is>
          <t>VÄNNÄS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38566-2025</t>
        </is>
      </c>
      <c r="B33" s="1" t="n">
        <v>45884.45541666666</v>
      </c>
      <c r="C33" s="1" t="n">
        <v>46021</v>
      </c>
      <c r="D33" t="inlineStr">
        <is>
          <t>VÄSTERBOTTENS LÄN</t>
        </is>
      </c>
      <c r="E33" t="inlineStr">
        <is>
          <t>VÄNNÄS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60557-2023</t>
        </is>
      </c>
      <c r="B34" s="1" t="n">
        <v>45259</v>
      </c>
      <c r="C34" s="1" t="n">
        <v>46021</v>
      </c>
      <c r="D34" t="inlineStr">
        <is>
          <t>VÄSTERBOTTENS LÄN</t>
        </is>
      </c>
      <c r="E34" t="inlineStr">
        <is>
          <t>VÄNNÄS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39220-2024</t>
        </is>
      </c>
      <c r="B35" s="1" t="n">
        <v>45549</v>
      </c>
      <c r="C35" s="1" t="n">
        <v>46021</v>
      </c>
      <c r="D35" t="inlineStr">
        <is>
          <t>VÄSTERBOTTENS LÄN</t>
        </is>
      </c>
      <c r="E35" t="inlineStr">
        <is>
          <t>VÄNNÄS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52536-2023</t>
        </is>
      </c>
      <c r="B36" s="1" t="n">
        <v>45218</v>
      </c>
      <c r="C36" s="1" t="n">
        <v>46021</v>
      </c>
      <c r="D36" t="inlineStr">
        <is>
          <t>VÄSTERBOTTENS LÄN</t>
        </is>
      </c>
      <c r="E36" t="inlineStr">
        <is>
          <t>VÄNNÄS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426-2022</t>
        </is>
      </c>
      <c r="B37" s="1" t="n">
        <v>44565</v>
      </c>
      <c r="C37" s="1" t="n">
        <v>46021</v>
      </c>
      <c r="D37" t="inlineStr">
        <is>
          <t>VÄSTERBOTTENS LÄN</t>
        </is>
      </c>
      <c r="E37" t="inlineStr">
        <is>
          <t>VÄNNÄS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38956-2022</t>
        </is>
      </c>
      <c r="B38" s="1" t="n">
        <v>44816</v>
      </c>
      <c r="C38" s="1" t="n">
        <v>46021</v>
      </c>
      <c r="D38" t="inlineStr">
        <is>
          <t>VÄSTERBOTTENS LÄN</t>
        </is>
      </c>
      <c r="E38" t="inlineStr">
        <is>
          <t>VÄNNÄS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29462-2025</t>
        </is>
      </c>
      <c r="B39" s="1" t="n">
        <v>45824.69697916666</v>
      </c>
      <c r="C39" s="1" t="n">
        <v>46021</v>
      </c>
      <c r="D39" t="inlineStr">
        <is>
          <t>VÄSTERBOTTENS LÄN</t>
        </is>
      </c>
      <c r="E39" t="inlineStr">
        <is>
          <t>VÄNNÄS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46434-2022</t>
        </is>
      </c>
      <c r="B40" s="1" t="n">
        <v>44846</v>
      </c>
      <c r="C40" s="1" t="n">
        <v>46021</v>
      </c>
      <c r="D40" t="inlineStr">
        <is>
          <t>VÄSTERBOTTENS LÄN</t>
        </is>
      </c>
      <c r="E40" t="inlineStr">
        <is>
          <t>VÄNNÄS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35557-2021</t>
        </is>
      </c>
      <c r="B41" s="1" t="n">
        <v>44385</v>
      </c>
      <c r="C41" s="1" t="n">
        <v>46021</v>
      </c>
      <c r="D41" t="inlineStr">
        <is>
          <t>VÄSTERBOTTENS LÄN</t>
        </is>
      </c>
      <c r="E41" t="inlineStr">
        <is>
          <t>VÄNNÄS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15409-2021</t>
        </is>
      </c>
      <c r="B42" s="1" t="n">
        <v>44285</v>
      </c>
      <c r="C42" s="1" t="n">
        <v>46021</v>
      </c>
      <c r="D42" t="inlineStr">
        <is>
          <t>VÄSTERBOTTENS LÄN</t>
        </is>
      </c>
      <c r="E42" t="inlineStr">
        <is>
          <t>VÄNNÄS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19100-2022</t>
        </is>
      </c>
      <c r="B43" s="1" t="n">
        <v>44691.52804398148</v>
      </c>
      <c r="C43" s="1" t="n">
        <v>46021</v>
      </c>
      <c r="D43" t="inlineStr">
        <is>
          <t>VÄSTERBOTTENS LÄN</t>
        </is>
      </c>
      <c r="E43" t="inlineStr">
        <is>
          <t>VÄNNÄS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22193-2023</t>
        </is>
      </c>
      <c r="B44" s="1" t="n">
        <v>45069</v>
      </c>
      <c r="C44" s="1" t="n">
        <v>46021</v>
      </c>
      <c r="D44" t="inlineStr">
        <is>
          <t>VÄSTERBOTTENS LÄN</t>
        </is>
      </c>
      <c r="E44" t="inlineStr">
        <is>
          <t>VÄNNÄS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15674-2025</t>
        </is>
      </c>
      <c r="B45" s="1" t="n">
        <v>45748.44657407407</v>
      </c>
      <c r="C45" s="1" t="n">
        <v>46021</v>
      </c>
      <c r="D45" t="inlineStr">
        <is>
          <t>VÄSTERBOTTENS LÄN</t>
        </is>
      </c>
      <c r="E45" t="inlineStr">
        <is>
          <t>VÄNNÄS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846-2022</t>
        </is>
      </c>
      <c r="B46" s="1" t="n">
        <v>44571</v>
      </c>
      <c r="C46" s="1" t="n">
        <v>46021</v>
      </c>
      <c r="D46" t="inlineStr">
        <is>
          <t>VÄSTERBOTTENS LÄN</t>
        </is>
      </c>
      <c r="E46" t="inlineStr">
        <is>
          <t>VÄNNÄS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13758-2024</t>
        </is>
      </c>
      <c r="B47" s="1" t="n">
        <v>45390.92747685185</v>
      </c>
      <c r="C47" s="1" t="n">
        <v>46021</v>
      </c>
      <c r="D47" t="inlineStr">
        <is>
          <t>VÄSTERBOTTENS LÄN</t>
        </is>
      </c>
      <c r="E47" t="inlineStr">
        <is>
          <t>VÄNNÄS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16782-2024</t>
        </is>
      </c>
      <c r="B48" s="1" t="n">
        <v>45411</v>
      </c>
      <c r="C48" s="1" t="n">
        <v>46021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32785-2024</t>
        </is>
      </c>
      <c r="B49" s="1" t="n">
        <v>45516.53230324074</v>
      </c>
      <c r="C49" s="1" t="n">
        <v>46021</v>
      </c>
      <c r="D49" t="inlineStr">
        <is>
          <t>VÄSTERBOTTENS LÄN</t>
        </is>
      </c>
      <c r="E49" t="inlineStr">
        <is>
          <t>VÄNNÄS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1006-2023</t>
        </is>
      </c>
      <c r="B50" s="1" t="n">
        <v>44935</v>
      </c>
      <c r="C50" s="1" t="n">
        <v>46021</v>
      </c>
      <c r="D50" t="inlineStr">
        <is>
          <t>VÄSTERBOTTENS LÄN</t>
        </is>
      </c>
      <c r="E50" t="inlineStr">
        <is>
          <t>VÄNNÄS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31869-2023</t>
        </is>
      </c>
      <c r="B51" s="1" t="n">
        <v>45118.62401620371</v>
      </c>
      <c r="C51" s="1" t="n">
        <v>46021</v>
      </c>
      <c r="D51" t="inlineStr">
        <is>
          <t>VÄSTERBOTTENS LÄN</t>
        </is>
      </c>
      <c r="E51" t="inlineStr">
        <is>
          <t>VÄNNÄS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31264-2024</t>
        </is>
      </c>
      <c r="B52" s="1" t="n">
        <v>45503.96868055555</v>
      </c>
      <c r="C52" s="1" t="n">
        <v>46021</v>
      </c>
      <c r="D52" t="inlineStr">
        <is>
          <t>VÄSTERBOTTENS LÄN</t>
        </is>
      </c>
      <c r="E52" t="inlineStr">
        <is>
          <t>VÄNNÄS</t>
        </is>
      </c>
      <c r="F52" t="inlineStr">
        <is>
          <t>Holmen skog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31277-2024</t>
        </is>
      </c>
      <c r="B53" s="1" t="n">
        <v>45504.39555555556</v>
      </c>
      <c r="C53" s="1" t="n">
        <v>46021</v>
      </c>
      <c r="D53" t="inlineStr">
        <is>
          <t>VÄSTERBOTTENS LÄN</t>
        </is>
      </c>
      <c r="E53" t="inlineStr">
        <is>
          <t>VÄNNÄS</t>
        </is>
      </c>
      <c r="F53" t="inlineStr">
        <is>
          <t>Holmen skog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1058-2023</t>
        </is>
      </c>
      <c r="B54" s="1" t="n">
        <v>44929</v>
      </c>
      <c r="C54" s="1" t="n">
        <v>46021</v>
      </c>
      <c r="D54" t="inlineStr">
        <is>
          <t>VÄSTERBOTTENS LÄN</t>
        </is>
      </c>
      <c r="E54" t="inlineStr">
        <is>
          <t>VÄNNÄS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63980-2021</t>
        </is>
      </c>
      <c r="B55" s="1" t="n">
        <v>44509</v>
      </c>
      <c r="C55" s="1" t="n">
        <v>46021</v>
      </c>
      <c r="D55" t="inlineStr">
        <is>
          <t>VÄSTERBOTTENS LÄN</t>
        </is>
      </c>
      <c r="E55" t="inlineStr">
        <is>
          <t>VÄNNÄS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31699-2024</t>
        </is>
      </c>
      <c r="B56" s="1" t="n">
        <v>45508.61318287037</v>
      </c>
      <c r="C56" s="1" t="n">
        <v>46021</v>
      </c>
      <c r="D56" t="inlineStr">
        <is>
          <t>VÄSTERBOTTENS LÄN</t>
        </is>
      </c>
      <c r="E56" t="inlineStr">
        <is>
          <t>VÄNNÄS</t>
        </is>
      </c>
      <c r="F56" t="inlineStr">
        <is>
          <t>Holmen skog AB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12425-2025</t>
        </is>
      </c>
      <c r="B57" s="1" t="n">
        <v>45730</v>
      </c>
      <c r="C57" s="1" t="n">
        <v>46021</v>
      </c>
      <c r="D57" t="inlineStr">
        <is>
          <t>VÄSTERBOTTENS LÄN</t>
        </is>
      </c>
      <c r="E57" t="inlineStr">
        <is>
          <t>VÄNNÄS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42902-2025</t>
        </is>
      </c>
      <c r="B58" s="1" t="n">
        <v>45908.67744212963</v>
      </c>
      <c r="C58" s="1" t="n">
        <v>46021</v>
      </c>
      <c r="D58" t="inlineStr">
        <is>
          <t>VÄSTERBOTTENS LÄN</t>
        </is>
      </c>
      <c r="E58" t="inlineStr">
        <is>
          <t>VÄNNÄS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56258-2024</t>
        </is>
      </c>
      <c r="B59" s="1" t="n">
        <v>45624.64472222222</v>
      </c>
      <c r="C59" s="1" t="n">
        <v>46021</v>
      </c>
      <c r="D59" t="inlineStr">
        <is>
          <t>VÄSTERBOTTENS LÄN</t>
        </is>
      </c>
      <c r="E59" t="inlineStr">
        <is>
          <t>VÄNNÄS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56262-2024</t>
        </is>
      </c>
      <c r="B60" s="1" t="n">
        <v>45624.65004629629</v>
      </c>
      <c r="C60" s="1" t="n">
        <v>46021</v>
      </c>
      <c r="D60" t="inlineStr">
        <is>
          <t>VÄSTERBOTTENS LÄN</t>
        </is>
      </c>
      <c r="E60" t="inlineStr">
        <is>
          <t>VÄNNÄS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62553-2021</t>
        </is>
      </c>
      <c r="B61" s="1" t="n">
        <v>44501</v>
      </c>
      <c r="C61" s="1" t="n">
        <v>46021</v>
      </c>
      <c r="D61" t="inlineStr">
        <is>
          <t>VÄSTERBOTTENS LÄN</t>
        </is>
      </c>
      <c r="E61" t="inlineStr">
        <is>
          <t>VÄNNÄS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18377-2025</t>
        </is>
      </c>
      <c r="B62" s="1" t="n">
        <v>45762.57496527778</v>
      </c>
      <c r="C62" s="1" t="n">
        <v>46021</v>
      </c>
      <c r="D62" t="inlineStr">
        <is>
          <t>VÄSTERBOTTENS LÄN</t>
        </is>
      </c>
      <c r="E62" t="inlineStr">
        <is>
          <t>VÄNNÄS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29823-2025</t>
        </is>
      </c>
      <c r="B63" s="1" t="n">
        <v>45825.85599537037</v>
      </c>
      <c r="C63" s="1" t="n">
        <v>46021</v>
      </c>
      <c r="D63" t="inlineStr">
        <is>
          <t>VÄSTERBOTTENS LÄN</t>
        </is>
      </c>
      <c r="E63" t="inlineStr">
        <is>
          <t>VÄNNÄS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25453-2024</t>
        </is>
      </c>
      <c r="B64" s="1" t="n">
        <v>45463.42144675926</v>
      </c>
      <c r="C64" s="1" t="n">
        <v>46021</v>
      </c>
      <c r="D64" t="inlineStr">
        <is>
          <t>VÄSTERBOTTENS LÄN</t>
        </is>
      </c>
      <c r="E64" t="inlineStr">
        <is>
          <t>VÄNNÄS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42584-2025</t>
        </is>
      </c>
      <c r="B65" s="1" t="n">
        <v>45905.62662037037</v>
      </c>
      <c r="C65" s="1" t="n">
        <v>46021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32956-2024</t>
        </is>
      </c>
      <c r="B66" s="1" t="n">
        <v>45517</v>
      </c>
      <c r="C66" s="1" t="n">
        <v>46021</v>
      </c>
      <c r="D66" t="inlineStr">
        <is>
          <t>VÄSTERBOTTENS LÄN</t>
        </is>
      </c>
      <c r="E66" t="inlineStr">
        <is>
          <t>VÄNNÄS</t>
        </is>
      </c>
      <c r="F66" t="inlineStr">
        <is>
          <t>Holmen skog AB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52255-2024</t>
        </is>
      </c>
      <c r="B67" s="1" t="n">
        <v>45608.64011574074</v>
      </c>
      <c r="C67" s="1" t="n">
        <v>46021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39185-2024</t>
        </is>
      </c>
      <c r="B68" s="1" t="n">
        <v>45548</v>
      </c>
      <c r="C68" s="1" t="n">
        <v>46021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42990-2025</t>
        </is>
      </c>
      <c r="B69" s="1" t="n">
        <v>45909.45178240741</v>
      </c>
      <c r="C69" s="1" t="n">
        <v>46021</v>
      </c>
      <c r="D69" t="inlineStr">
        <is>
          <t>VÄSTERBOTTENS LÄN</t>
        </is>
      </c>
      <c r="E69" t="inlineStr">
        <is>
          <t>VÄNNÄS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43030-2025</t>
        </is>
      </c>
      <c r="B70" s="1" t="n">
        <v>45909</v>
      </c>
      <c r="C70" s="1" t="n">
        <v>46021</v>
      </c>
      <c r="D70" t="inlineStr">
        <is>
          <t>VÄSTERBOTTENS LÄN</t>
        </is>
      </c>
      <c r="E70" t="inlineStr">
        <is>
          <t>VÄNNÄS</t>
        </is>
      </c>
      <c r="F70" t="inlineStr">
        <is>
          <t>Holmen skog AB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63817-2023</t>
        </is>
      </c>
      <c r="B71" s="1" t="n">
        <v>45275</v>
      </c>
      <c r="C71" s="1" t="n">
        <v>46021</v>
      </c>
      <c r="D71" t="inlineStr">
        <is>
          <t>VÄSTERBOTTENS LÄN</t>
        </is>
      </c>
      <c r="E71" t="inlineStr">
        <is>
          <t>VÄNNÄS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43685-2025</t>
        </is>
      </c>
      <c r="B72" s="1" t="n">
        <v>45912.38184027778</v>
      </c>
      <c r="C72" s="1" t="n">
        <v>46021</v>
      </c>
      <c r="D72" t="inlineStr">
        <is>
          <t>VÄSTERBOTTENS LÄN</t>
        </is>
      </c>
      <c r="E72" t="inlineStr">
        <is>
          <t>VÄNNÄS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19786-2025</t>
        </is>
      </c>
      <c r="B73" s="1" t="n">
        <v>45771.44086805556</v>
      </c>
      <c r="C73" s="1" t="n">
        <v>46021</v>
      </c>
      <c r="D73" t="inlineStr">
        <is>
          <t>VÄSTERBOTTENS LÄN</t>
        </is>
      </c>
      <c r="E73" t="inlineStr">
        <is>
          <t>VÄNNÄS</t>
        </is>
      </c>
      <c r="F73" t="inlineStr">
        <is>
          <t>Holmen skog AB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60646-2024</t>
        </is>
      </c>
      <c r="B74" s="1" t="n">
        <v>45644.4325462963</v>
      </c>
      <c r="C74" s="1" t="n">
        <v>46021</v>
      </c>
      <c r="D74" t="inlineStr">
        <is>
          <t>VÄSTERBOTTENS LÄN</t>
        </is>
      </c>
      <c r="E74" t="inlineStr">
        <is>
          <t>VÄNNÄS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8937-2025</t>
        </is>
      </c>
      <c r="B75" s="1" t="n">
        <v>45713.44841435185</v>
      </c>
      <c r="C75" s="1" t="n">
        <v>46021</v>
      </c>
      <c r="D75" t="inlineStr">
        <is>
          <t>VÄSTERBOTTENS LÄN</t>
        </is>
      </c>
      <c r="E75" t="inlineStr">
        <is>
          <t>VÄNNÄS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8938-2025</t>
        </is>
      </c>
      <c r="B76" s="1" t="n">
        <v>45713.44842592593</v>
      </c>
      <c r="C76" s="1" t="n">
        <v>46021</v>
      </c>
      <c r="D76" t="inlineStr">
        <is>
          <t>VÄSTERBOTTENS LÄN</t>
        </is>
      </c>
      <c r="E76" t="inlineStr">
        <is>
          <t>VÄNNÄS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35354-2023</t>
        </is>
      </c>
      <c r="B77" s="1" t="n">
        <v>45146</v>
      </c>
      <c r="C77" s="1" t="n">
        <v>46021</v>
      </c>
      <c r="D77" t="inlineStr">
        <is>
          <t>VÄSTERBOTTENS LÄN</t>
        </is>
      </c>
      <c r="E77" t="inlineStr">
        <is>
          <t>VÄNNÄS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10533-2023</t>
        </is>
      </c>
      <c r="B78" s="1" t="n">
        <v>44987.92349537037</v>
      </c>
      <c r="C78" s="1" t="n">
        <v>46021</v>
      </c>
      <c r="D78" t="inlineStr">
        <is>
          <t>VÄSTERBOTTENS LÄN</t>
        </is>
      </c>
      <c r="E78" t="inlineStr">
        <is>
          <t>VÄNNÄS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34760-2023</t>
        </is>
      </c>
      <c r="B79" s="1" t="n">
        <v>45139</v>
      </c>
      <c r="C79" s="1" t="n">
        <v>46021</v>
      </c>
      <c r="D79" t="inlineStr">
        <is>
          <t>VÄSTERBOTTENS LÄN</t>
        </is>
      </c>
      <c r="E79" t="inlineStr">
        <is>
          <t>VÄNNÄS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53783-2024</t>
        </is>
      </c>
      <c r="B80" s="1" t="n">
        <v>45615</v>
      </c>
      <c r="C80" s="1" t="n">
        <v>46021</v>
      </c>
      <c r="D80" t="inlineStr">
        <is>
          <t>VÄSTERBOTTENS LÄN</t>
        </is>
      </c>
      <c r="E80" t="inlineStr">
        <is>
          <t>VÄNNÄS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10440-2023</t>
        </is>
      </c>
      <c r="B81" s="1" t="n">
        <v>44987</v>
      </c>
      <c r="C81" s="1" t="n">
        <v>46021</v>
      </c>
      <c r="D81" t="inlineStr">
        <is>
          <t>VÄSTERBOTTENS LÄN</t>
        </is>
      </c>
      <c r="E81" t="inlineStr">
        <is>
          <t>VÄNNÄS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17409-2025</t>
        </is>
      </c>
      <c r="B82" s="1" t="n">
        <v>45757.36844907407</v>
      </c>
      <c r="C82" s="1" t="n">
        <v>46021</v>
      </c>
      <c r="D82" t="inlineStr">
        <is>
          <t>VÄSTERBOTTENS LÄN</t>
        </is>
      </c>
      <c r="E82" t="inlineStr">
        <is>
          <t>VÄNNÄS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17414-2025</t>
        </is>
      </c>
      <c r="B83" s="1" t="n">
        <v>45757</v>
      </c>
      <c r="C83" s="1" t="n">
        <v>46021</v>
      </c>
      <c r="D83" t="inlineStr">
        <is>
          <t>VÄSTERBOTTENS LÄN</t>
        </is>
      </c>
      <c r="E83" t="inlineStr">
        <is>
          <t>VÄNNÄS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20432-2025</t>
        </is>
      </c>
      <c r="B84" s="1" t="n">
        <v>45775.47893518519</v>
      </c>
      <c r="C84" s="1" t="n">
        <v>46021</v>
      </c>
      <c r="D84" t="inlineStr">
        <is>
          <t>VÄSTERBOTTENS LÄN</t>
        </is>
      </c>
      <c r="E84" t="inlineStr">
        <is>
          <t>VÄNNÄS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35737-2024</t>
        </is>
      </c>
      <c r="B85" s="1" t="n">
        <v>45532</v>
      </c>
      <c r="C85" s="1" t="n">
        <v>46021</v>
      </c>
      <c r="D85" t="inlineStr">
        <is>
          <t>VÄSTERBOTTENS LÄN</t>
        </is>
      </c>
      <c r="E85" t="inlineStr">
        <is>
          <t>VÄNNÄS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35755-2024</t>
        </is>
      </c>
      <c r="B86" s="1" t="n">
        <v>45532</v>
      </c>
      <c r="C86" s="1" t="n">
        <v>46021</v>
      </c>
      <c r="D86" t="inlineStr">
        <is>
          <t>VÄSTERBOTTENS LÄN</t>
        </is>
      </c>
      <c r="E86" t="inlineStr">
        <is>
          <t>VÄNNÄS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35771-2024</t>
        </is>
      </c>
      <c r="B87" s="1" t="n">
        <v>45532</v>
      </c>
      <c r="C87" s="1" t="n">
        <v>46021</v>
      </c>
      <c r="D87" t="inlineStr">
        <is>
          <t>VÄSTERBOTTENS LÄN</t>
        </is>
      </c>
      <c r="E87" t="inlineStr">
        <is>
          <t>VÄNNÄS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58340-2024</t>
        </is>
      </c>
      <c r="B88" s="1" t="n">
        <v>45632.6391087963</v>
      </c>
      <c r="C88" s="1" t="n">
        <v>46021</v>
      </c>
      <c r="D88" t="inlineStr">
        <is>
          <t>VÄSTERBOTTENS LÄN</t>
        </is>
      </c>
      <c r="E88" t="inlineStr">
        <is>
          <t>VÄNNÄS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7871-2023</t>
        </is>
      </c>
      <c r="B89" s="1" t="n">
        <v>44970</v>
      </c>
      <c r="C89" s="1" t="n">
        <v>46021</v>
      </c>
      <c r="D89" t="inlineStr">
        <is>
          <t>VÄSTERBOTTENS LÄN</t>
        </is>
      </c>
      <c r="E89" t="inlineStr">
        <is>
          <t>VÄNNÄS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44889-2025</t>
        </is>
      </c>
      <c r="B90" s="1" t="n">
        <v>45918.49681712963</v>
      </c>
      <c r="C90" s="1" t="n">
        <v>46021</v>
      </c>
      <c r="D90" t="inlineStr">
        <is>
          <t>VÄSTERBOTTENS LÄN</t>
        </is>
      </c>
      <c r="E90" t="inlineStr">
        <is>
          <t>VÄNNÄS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44832-2025</t>
        </is>
      </c>
      <c r="B91" s="1" t="n">
        <v>45918.406875</v>
      </c>
      <c r="C91" s="1" t="n">
        <v>46021</v>
      </c>
      <c r="D91" t="inlineStr">
        <is>
          <t>VÄSTERBOTTENS LÄN</t>
        </is>
      </c>
      <c r="E91" t="inlineStr">
        <is>
          <t>VÄNNÄS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27530-2024</t>
        </is>
      </c>
      <c r="B92" s="1" t="n">
        <v>45474.56820601852</v>
      </c>
      <c r="C92" s="1" t="n">
        <v>46021</v>
      </c>
      <c r="D92" t="inlineStr">
        <is>
          <t>VÄSTERBOTTENS LÄN</t>
        </is>
      </c>
      <c r="E92" t="inlineStr">
        <is>
          <t>VÄNNÄS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9086-2023</t>
        </is>
      </c>
      <c r="B93" s="1" t="n">
        <v>44979</v>
      </c>
      <c r="C93" s="1" t="n">
        <v>46021</v>
      </c>
      <c r="D93" t="inlineStr">
        <is>
          <t>VÄSTERBOTTENS LÄN</t>
        </is>
      </c>
      <c r="E93" t="inlineStr">
        <is>
          <t>VÄNNÄS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44975-2025</t>
        </is>
      </c>
      <c r="B94" s="1" t="n">
        <v>45918.64300925926</v>
      </c>
      <c r="C94" s="1" t="n">
        <v>46021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44895-2025</t>
        </is>
      </c>
      <c r="B95" s="1" t="n">
        <v>45918.50277777778</v>
      </c>
      <c r="C95" s="1" t="n">
        <v>46021</v>
      </c>
      <c r="D95" t="inlineStr">
        <is>
          <t>VÄSTERBOTTENS LÄN</t>
        </is>
      </c>
      <c r="E95" t="inlineStr">
        <is>
          <t>VÄNNÄS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46205-2024</t>
        </is>
      </c>
      <c r="B96" s="1" t="n">
        <v>45581.54357638889</v>
      </c>
      <c r="C96" s="1" t="n">
        <v>46021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46195-2024</t>
        </is>
      </c>
      <c r="B97" s="1" t="n">
        <v>45581.51873842593</v>
      </c>
      <c r="C97" s="1" t="n">
        <v>46021</v>
      </c>
      <c r="D97" t="inlineStr">
        <is>
          <t>VÄSTERBOTTENS LÄN</t>
        </is>
      </c>
      <c r="E97" t="inlineStr">
        <is>
          <t>VÄNNÄS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4676-2023</t>
        </is>
      </c>
      <c r="B98" s="1" t="n">
        <v>44953</v>
      </c>
      <c r="C98" s="1" t="n">
        <v>46021</v>
      </c>
      <c r="D98" t="inlineStr">
        <is>
          <t>VÄSTERBOTTENS LÄN</t>
        </is>
      </c>
      <c r="E98" t="inlineStr">
        <is>
          <t>VÄNNÄS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28337-2022</t>
        </is>
      </c>
      <c r="B99" s="1" t="n">
        <v>44747.42982638889</v>
      </c>
      <c r="C99" s="1" t="n">
        <v>46021</v>
      </c>
      <c r="D99" t="inlineStr">
        <is>
          <t>VÄSTERBOTTENS LÄN</t>
        </is>
      </c>
      <c r="E99" t="inlineStr">
        <is>
          <t>VÄNNÄS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47472-2024</t>
        </is>
      </c>
      <c r="B100" s="1" t="n">
        <v>45587.5741087963</v>
      </c>
      <c r="C100" s="1" t="n">
        <v>46021</v>
      </c>
      <c r="D100" t="inlineStr">
        <is>
          <t>VÄSTERBOTTENS LÄN</t>
        </is>
      </c>
      <c r="E100" t="inlineStr">
        <is>
          <t>VÄNNÄS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6288-2021</t>
        </is>
      </c>
      <c r="B101" s="1" t="n">
        <v>44235</v>
      </c>
      <c r="C101" s="1" t="n">
        <v>46021</v>
      </c>
      <c r="D101" t="inlineStr">
        <is>
          <t>VÄSTERBOTTENS LÄN</t>
        </is>
      </c>
      <c r="E101" t="inlineStr">
        <is>
          <t>VÄNNÄS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15678-2025</t>
        </is>
      </c>
      <c r="B102" s="1" t="n">
        <v>45748.45042824074</v>
      </c>
      <c r="C102" s="1" t="n">
        <v>46021</v>
      </c>
      <c r="D102" t="inlineStr">
        <is>
          <t>VÄSTERBOTTENS LÄN</t>
        </is>
      </c>
      <c r="E102" t="inlineStr">
        <is>
          <t>VÄNNÄS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9026-2024</t>
        </is>
      </c>
      <c r="B103" s="1" t="n">
        <v>45356</v>
      </c>
      <c r="C103" s="1" t="n">
        <v>46021</v>
      </c>
      <c r="D103" t="inlineStr">
        <is>
          <t>VÄSTERBOTTENS LÄN</t>
        </is>
      </c>
      <c r="E103" t="inlineStr">
        <is>
          <t>VÄNNÄS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46212-2024</t>
        </is>
      </c>
      <c r="B104" s="1" t="n">
        <v>45581.55569444445</v>
      </c>
      <c r="C104" s="1" t="n">
        <v>46021</v>
      </c>
      <c r="D104" t="inlineStr">
        <is>
          <t>VÄSTERBOTTENS LÄN</t>
        </is>
      </c>
      <c r="E104" t="inlineStr">
        <is>
          <t>VÄNNÄS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57777-2023</t>
        </is>
      </c>
      <c r="B105" s="1" t="n">
        <v>45246</v>
      </c>
      <c r="C105" s="1" t="n">
        <v>46021</v>
      </c>
      <c r="D105" t="inlineStr">
        <is>
          <t>VÄSTERBOTTENS LÄN</t>
        </is>
      </c>
      <c r="E105" t="inlineStr">
        <is>
          <t>VÄNNÄS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12410-2025</t>
        </is>
      </c>
      <c r="B106" s="1" t="n">
        <v>45730.43505787037</v>
      </c>
      <c r="C106" s="1" t="n">
        <v>46021</v>
      </c>
      <c r="D106" t="inlineStr">
        <is>
          <t>VÄSTERBOTTENS LÄN</t>
        </is>
      </c>
      <c r="E106" t="inlineStr">
        <is>
          <t>VÄNNÄS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60033-2024</t>
        </is>
      </c>
      <c r="B107" s="1" t="n">
        <v>45642.46236111111</v>
      </c>
      <c r="C107" s="1" t="n">
        <v>46021</v>
      </c>
      <c r="D107" t="inlineStr">
        <is>
          <t>VÄSTERBOTTENS LÄN</t>
        </is>
      </c>
      <c r="E107" t="inlineStr">
        <is>
          <t>VÄNNÄS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2018-2025</t>
        </is>
      </c>
      <c r="B108" s="1" t="n">
        <v>45672</v>
      </c>
      <c r="C108" s="1" t="n">
        <v>46021</v>
      </c>
      <c r="D108" t="inlineStr">
        <is>
          <t>VÄSTERBOTTENS LÄN</t>
        </is>
      </c>
      <c r="E108" t="inlineStr">
        <is>
          <t>VÄNNÄS</t>
        </is>
      </c>
      <c r="F108" t="inlineStr">
        <is>
          <t>Kommuner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2020-2025</t>
        </is>
      </c>
      <c r="B109" s="1" t="n">
        <v>45672</v>
      </c>
      <c r="C109" s="1" t="n">
        <v>46021</v>
      </c>
      <c r="D109" t="inlineStr">
        <is>
          <t>VÄSTERBOTTENS LÄN</t>
        </is>
      </c>
      <c r="E109" t="inlineStr">
        <is>
          <t>VÄNNÄS</t>
        </is>
      </c>
      <c r="F109" t="inlineStr">
        <is>
          <t>Kommuner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52536-2024</t>
        </is>
      </c>
      <c r="B110" s="1" t="n">
        <v>45609.61851851852</v>
      </c>
      <c r="C110" s="1" t="n">
        <v>46021</v>
      </c>
      <c r="D110" t="inlineStr">
        <is>
          <t>VÄSTERBOTTENS LÄN</t>
        </is>
      </c>
      <c r="E110" t="inlineStr">
        <is>
          <t>VÄNNÄS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20640-2025</t>
        </is>
      </c>
      <c r="B111" s="1" t="n">
        <v>45776.37438657408</v>
      </c>
      <c r="C111" s="1" t="n">
        <v>46021</v>
      </c>
      <c r="D111" t="inlineStr">
        <is>
          <t>VÄSTERBOTTENS LÄN</t>
        </is>
      </c>
      <c r="E111" t="inlineStr">
        <is>
          <t>VÄNNÄS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31865-2023</t>
        </is>
      </c>
      <c r="B112" s="1" t="n">
        <v>45118.61383101852</v>
      </c>
      <c r="C112" s="1" t="n">
        <v>46021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21435-2025</t>
        </is>
      </c>
      <c r="B113" s="1" t="n">
        <v>45782.51766203704</v>
      </c>
      <c r="C113" s="1" t="n">
        <v>46021</v>
      </c>
      <c r="D113" t="inlineStr">
        <is>
          <t>VÄSTERBOTTENS LÄN</t>
        </is>
      </c>
      <c r="E113" t="inlineStr">
        <is>
          <t>VÄNNÄS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21437-2025</t>
        </is>
      </c>
      <c r="B114" s="1" t="n">
        <v>45782.52001157407</v>
      </c>
      <c r="C114" s="1" t="n">
        <v>46021</v>
      </c>
      <c r="D114" t="inlineStr">
        <is>
          <t>VÄSTERBOTTENS LÄN</t>
        </is>
      </c>
      <c r="E114" t="inlineStr">
        <is>
          <t>VÄNNÄS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21361-2025</t>
        </is>
      </c>
      <c r="B115" s="1" t="n">
        <v>45782.43983796296</v>
      </c>
      <c r="C115" s="1" t="n">
        <v>46021</v>
      </c>
      <c r="D115" t="inlineStr">
        <is>
          <t>VÄSTERBOTTENS LÄN</t>
        </is>
      </c>
      <c r="E115" t="inlineStr">
        <is>
          <t>VÄNNÄS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2201-2025</t>
        </is>
      </c>
      <c r="B116" s="1" t="n">
        <v>45673.39678240741</v>
      </c>
      <c r="C116" s="1" t="n">
        <v>46021</v>
      </c>
      <c r="D116" t="inlineStr">
        <is>
          <t>VÄSTERBOTTENS LÄN</t>
        </is>
      </c>
      <c r="E116" t="inlineStr">
        <is>
          <t>VÄNNÄS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21615-2025</t>
        </is>
      </c>
      <c r="B117" s="1" t="n">
        <v>45783.40077546296</v>
      </c>
      <c r="C117" s="1" t="n">
        <v>46021</v>
      </c>
      <c r="D117" t="inlineStr">
        <is>
          <t>VÄSTERBOTTENS LÄN</t>
        </is>
      </c>
      <c r="E117" t="inlineStr">
        <is>
          <t>VÄNNÄS</t>
        </is>
      </c>
      <c r="F117" t="inlineStr">
        <is>
          <t>Holmen skog AB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6292-2021</t>
        </is>
      </c>
      <c r="B118" s="1" t="n">
        <v>44235</v>
      </c>
      <c r="C118" s="1" t="n">
        <v>46021</v>
      </c>
      <c r="D118" t="inlineStr">
        <is>
          <t>VÄSTERBOTTENS LÄN</t>
        </is>
      </c>
      <c r="E118" t="inlineStr">
        <is>
          <t>VÄNNÄS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32792-2024</t>
        </is>
      </c>
      <c r="B119" s="1" t="n">
        <v>45516.55068287037</v>
      </c>
      <c r="C119" s="1" t="n">
        <v>46021</v>
      </c>
      <c r="D119" t="inlineStr">
        <is>
          <t>VÄSTERBOTTENS LÄN</t>
        </is>
      </c>
      <c r="E119" t="inlineStr">
        <is>
          <t>VÄNNÄS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32809-2024</t>
        </is>
      </c>
      <c r="B120" s="1" t="n">
        <v>45516.57067129629</v>
      </c>
      <c r="C120" s="1" t="n">
        <v>46021</v>
      </c>
      <c r="D120" t="inlineStr">
        <is>
          <t>VÄSTERBOTTENS LÄN</t>
        </is>
      </c>
      <c r="E120" t="inlineStr">
        <is>
          <t>VÄNNÄS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28615-2023</t>
        </is>
      </c>
      <c r="B121" s="1" t="n">
        <v>45103.59210648148</v>
      </c>
      <c r="C121" s="1" t="n">
        <v>46021</v>
      </c>
      <c r="D121" t="inlineStr">
        <is>
          <t>VÄSTERBOTTENS LÄN</t>
        </is>
      </c>
      <c r="E121" t="inlineStr">
        <is>
          <t>VÄNNÄS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42141-2023</t>
        </is>
      </c>
      <c r="B122" s="1" t="n">
        <v>45177</v>
      </c>
      <c r="C122" s="1" t="n">
        <v>46021</v>
      </c>
      <c r="D122" t="inlineStr">
        <is>
          <t>VÄSTERBOTTENS LÄN</t>
        </is>
      </c>
      <c r="E122" t="inlineStr">
        <is>
          <t>VÄNNÄS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31133-2023</t>
        </is>
      </c>
      <c r="B123" s="1" t="n">
        <v>45103</v>
      </c>
      <c r="C123" s="1" t="n">
        <v>46021</v>
      </c>
      <c r="D123" t="inlineStr">
        <is>
          <t>VÄSTERBOTTENS LÄN</t>
        </is>
      </c>
      <c r="E123" t="inlineStr">
        <is>
          <t>VÄNNÄS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1438-2025</t>
        </is>
      </c>
      <c r="B124" s="1" t="n">
        <v>45669.68052083333</v>
      </c>
      <c r="C124" s="1" t="n">
        <v>46021</v>
      </c>
      <c r="D124" t="inlineStr">
        <is>
          <t>VÄSTERBOTTENS LÄN</t>
        </is>
      </c>
      <c r="E124" t="inlineStr">
        <is>
          <t>VÄNNÄS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2286-2025</t>
        </is>
      </c>
      <c r="B125" s="1" t="n">
        <v>45673</v>
      </c>
      <c r="C125" s="1" t="n">
        <v>46021</v>
      </c>
      <c r="D125" t="inlineStr">
        <is>
          <t>VÄSTERBOTTENS LÄN</t>
        </is>
      </c>
      <c r="E125" t="inlineStr">
        <is>
          <t>VÄNNÄS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22900-2025</t>
        </is>
      </c>
      <c r="B126" s="1" t="n">
        <v>45790.41079861111</v>
      </c>
      <c r="C126" s="1" t="n">
        <v>46021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23205-2025</t>
        </is>
      </c>
      <c r="B127" s="1" t="n">
        <v>45791.46658564815</v>
      </c>
      <c r="C127" s="1" t="n">
        <v>46021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23101-2025</t>
        </is>
      </c>
      <c r="B128" s="1" t="n">
        <v>45791.35427083333</v>
      </c>
      <c r="C128" s="1" t="n">
        <v>46021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23462-2025</t>
        </is>
      </c>
      <c r="B129" s="1" t="n">
        <v>45792.43016203704</v>
      </c>
      <c r="C129" s="1" t="n">
        <v>46021</v>
      </c>
      <c r="D129" t="inlineStr">
        <is>
          <t>VÄSTERBOTTENS LÄN</t>
        </is>
      </c>
      <c r="E129" t="inlineStr">
        <is>
          <t>VÄNNÄS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23567-2025</t>
        </is>
      </c>
      <c r="B130" s="1" t="n">
        <v>45792.60107638889</v>
      </c>
      <c r="C130" s="1" t="n">
        <v>46021</v>
      </c>
      <c r="D130" t="inlineStr">
        <is>
          <t>VÄSTERBOTTENS LÄN</t>
        </is>
      </c>
      <c r="E130" t="inlineStr">
        <is>
          <t>VÄNNÄS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45126-2023</t>
        </is>
      </c>
      <c r="B131" s="1" t="n">
        <v>45187</v>
      </c>
      <c r="C131" s="1" t="n">
        <v>46021</v>
      </c>
      <c r="D131" t="inlineStr">
        <is>
          <t>VÄSTERBOTTENS LÄN</t>
        </is>
      </c>
      <c r="E131" t="inlineStr">
        <is>
          <t>VÄNNÄS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23453-2025</t>
        </is>
      </c>
      <c r="B132" s="1" t="n">
        <v>45792.42302083333</v>
      </c>
      <c r="C132" s="1" t="n">
        <v>46021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Holmen skog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35349-2023</t>
        </is>
      </c>
      <c r="B133" s="1" t="n">
        <v>45146</v>
      </c>
      <c r="C133" s="1" t="n">
        <v>46021</v>
      </c>
      <c r="D133" t="inlineStr">
        <is>
          <t>VÄSTERBOTTENS LÄN</t>
        </is>
      </c>
      <c r="E133" t="inlineStr">
        <is>
          <t>VÄNNÄS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8935-2025</t>
        </is>
      </c>
      <c r="B134" s="1" t="n">
        <v>45713.44832175926</v>
      </c>
      <c r="C134" s="1" t="n">
        <v>46021</v>
      </c>
      <c r="D134" t="inlineStr">
        <is>
          <t>VÄSTERBOTTENS LÄN</t>
        </is>
      </c>
      <c r="E134" t="inlineStr">
        <is>
          <t>VÄNNÄS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23465-2025</t>
        </is>
      </c>
      <c r="B135" s="1" t="n">
        <v>45792.43493055556</v>
      </c>
      <c r="C135" s="1" t="n">
        <v>46021</v>
      </c>
      <c r="D135" t="inlineStr">
        <is>
          <t>VÄSTERBOTTENS LÄN</t>
        </is>
      </c>
      <c r="E135" t="inlineStr">
        <is>
          <t>VÄNNÄS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48859-2025</t>
        </is>
      </c>
      <c r="B136" s="1" t="n">
        <v>45937</v>
      </c>
      <c r="C136" s="1" t="n">
        <v>46021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57424-2025</t>
        </is>
      </c>
      <c r="B137" s="1" t="n">
        <v>45980.46134259259</v>
      </c>
      <c r="C137" s="1" t="n">
        <v>46021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57448-2025</t>
        </is>
      </c>
      <c r="B138" s="1" t="n">
        <v>45980.49452546296</v>
      </c>
      <c r="C138" s="1" t="n">
        <v>46021</v>
      </c>
      <c r="D138" t="inlineStr">
        <is>
          <t>VÄSTERBOTTENS LÄN</t>
        </is>
      </c>
      <c r="E138" t="inlineStr">
        <is>
          <t>VÄNNÄS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57203-2025</t>
        </is>
      </c>
      <c r="B139" s="1" t="n">
        <v>45979.58972222222</v>
      </c>
      <c r="C139" s="1" t="n">
        <v>46021</v>
      </c>
      <c r="D139" t="inlineStr">
        <is>
          <t>VÄSTERBOTTENS LÄN</t>
        </is>
      </c>
      <c r="E139" t="inlineStr">
        <is>
          <t>VÄNNÄS</t>
        </is>
      </c>
      <c r="F139" t="inlineStr">
        <is>
          <t>Sveaskog</t>
        </is>
      </c>
      <c r="G139" t="n">
        <v>20.1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49371-2025</t>
        </is>
      </c>
      <c r="B140" s="1" t="n">
        <v>45938.63061342593</v>
      </c>
      <c r="C140" s="1" t="n">
        <v>46021</v>
      </c>
      <c r="D140" t="inlineStr">
        <is>
          <t>VÄSTERBOTTENS LÄN</t>
        </is>
      </c>
      <c r="E140" t="inlineStr">
        <is>
          <t>VÄNNÄS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31421-2023</t>
        </is>
      </c>
      <c r="B141" s="1" t="n">
        <v>45114.60027777778</v>
      </c>
      <c r="C141" s="1" t="n">
        <v>46021</v>
      </c>
      <c r="D141" t="inlineStr">
        <is>
          <t>VÄSTERBOTTENS LÄN</t>
        </is>
      </c>
      <c r="E141" t="inlineStr">
        <is>
          <t>VÄNNÄS</t>
        </is>
      </c>
      <c r="F141" t="inlineStr">
        <is>
          <t>Holmen skog AB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48886-2025</t>
        </is>
      </c>
      <c r="B142" s="1" t="n">
        <v>45937.46611111111</v>
      </c>
      <c r="C142" s="1" t="n">
        <v>46021</v>
      </c>
      <c r="D142" t="inlineStr">
        <is>
          <t>VÄSTERBOTTENS LÄN</t>
        </is>
      </c>
      <c r="E142" t="inlineStr">
        <is>
          <t>VÄNNÄS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32739-2021</t>
        </is>
      </c>
      <c r="B143" s="1" t="n">
        <v>44375</v>
      </c>
      <c r="C143" s="1" t="n">
        <v>46021</v>
      </c>
      <c r="D143" t="inlineStr">
        <is>
          <t>VÄSTERBOTTENS LÄN</t>
        </is>
      </c>
      <c r="E143" t="inlineStr">
        <is>
          <t>VÄNNÄS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23776-2025</t>
        </is>
      </c>
      <c r="B144" s="1" t="n">
        <v>45793.50012731482</v>
      </c>
      <c r="C144" s="1" t="n">
        <v>46021</v>
      </c>
      <c r="D144" t="inlineStr">
        <is>
          <t>VÄSTERBOTTENS LÄN</t>
        </is>
      </c>
      <c r="E144" t="inlineStr">
        <is>
          <t>VÄNNÄS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60640-2024</t>
        </is>
      </c>
      <c r="B145" s="1" t="n">
        <v>45644.42787037037</v>
      </c>
      <c r="C145" s="1" t="n">
        <v>46021</v>
      </c>
      <c r="D145" t="inlineStr">
        <is>
          <t>VÄSTERBOTTENS LÄN</t>
        </is>
      </c>
      <c r="E145" t="inlineStr">
        <is>
          <t>VÄNNÄS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47976-2022</t>
        </is>
      </c>
      <c r="B146" s="1" t="n">
        <v>44853</v>
      </c>
      <c r="C146" s="1" t="n">
        <v>46021</v>
      </c>
      <c r="D146" t="inlineStr">
        <is>
          <t>VÄSTERBOTTENS LÄN</t>
        </is>
      </c>
      <c r="E146" t="inlineStr">
        <is>
          <t>VÄNNÄS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24346-2025</t>
        </is>
      </c>
      <c r="B147" s="1" t="n">
        <v>45797.58045138889</v>
      </c>
      <c r="C147" s="1" t="n">
        <v>46021</v>
      </c>
      <c r="D147" t="inlineStr">
        <is>
          <t>VÄSTERBOTTENS LÄN</t>
        </is>
      </c>
      <c r="E147" t="inlineStr">
        <is>
          <t>VÄNNÄS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24342-2025</t>
        </is>
      </c>
      <c r="B148" s="1" t="n">
        <v>45797.57418981481</v>
      </c>
      <c r="C148" s="1" t="n">
        <v>46021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63981-2021</t>
        </is>
      </c>
      <c r="B149" s="1" t="n">
        <v>44509</v>
      </c>
      <c r="C149" s="1" t="n">
        <v>46021</v>
      </c>
      <c r="D149" t="inlineStr">
        <is>
          <t>VÄSTERBOTTENS LÄN</t>
        </is>
      </c>
      <c r="E149" t="inlineStr">
        <is>
          <t>VÄNNÄS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48852-2025</t>
        </is>
      </c>
      <c r="B150" s="1" t="n">
        <v>45937.43040509259</v>
      </c>
      <c r="C150" s="1" t="n">
        <v>46021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44319-2023</t>
        </is>
      </c>
      <c r="B151" s="1" t="n">
        <v>45183</v>
      </c>
      <c r="C151" s="1" t="n">
        <v>46021</v>
      </c>
      <c r="D151" t="inlineStr">
        <is>
          <t>VÄSTERBOTTENS LÄN</t>
        </is>
      </c>
      <c r="E151" t="inlineStr">
        <is>
          <t>VÄNNÄS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3584-2025</t>
        </is>
      </c>
      <c r="B152" s="1" t="n">
        <v>45680.78527777778</v>
      </c>
      <c r="C152" s="1" t="n">
        <v>46021</v>
      </c>
      <c r="D152" t="inlineStr">
        <is>
          <t>VÄSTERBOTTENS LÄN</t>
        </is>
      </c>
      <c r="E152" t="inlineStr">
        <is>
          <t>VÄNNÄS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25206-2025</t>
        </is>
      </c>
      <c r="B153" s="1" t="n">
        <v>45800.46908564815</v>
      </c>
      <c r="C153" s="1" t="n">
        <v>46021</v>
      </c>
      <c r="D153" t="inlineStr">
        <is>
          <t>VÄSTERBOTTENS LÄN</t>
        </is>
      </c>
      <c r="E153" t="inlineStr">
        <is>
          <t>VÄNNÄS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24805-2025</t>
        </is>
      </c>
      <c r="B154" s="1" t="n">
        <v>45799.4409375</v>
      </c>
      <c r="C154" s="1" t="n">
        <v>46021</v>
      </c>
      <c r="D154" t="inlineStr">
        <is>
          <t>VÄSTERBOTTENS LÄN</t>
        </is>
      </c>
      <c r="E154" t="inlineStr">
        <is>
          <t>VÄNNÄS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24756-2025</t>
        </is>
      </c>
      <c r="B155" s="1" t="n">
        <v>45799.37510416667</v>
      </c>
      <c r="C155" s="1" t="n">
        <v>46021</v>
      </c>
      <c r="D155" t="inlineStr">
        <is>
          <t>VÄSTERBOTTENS LÄN</t>
        </is>
      </c>
      <c r="E155" t="inlineStr">
        <is>
          <t>VÄNNÄS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57347-2025</t>
        </is>
      </c>
      <c r="B156" s="1" t="n">
        <v>45980.35763888889</v>
      </c>
      <c r="C156" s="1" t="n">
        <v>46021</v>
      </c>
      <c r="D156" t="inlineStr">
        <is>
          <t>VÄSTERBOTTENS LÄN</t>
        </is>
      </c>
      <c r="E156" t="inlineStr">
        <is>
          <t>VÄNNÄS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49820-2025</t>
        </is>
      </c>
      <c r="B157" s="1" t="n">
        <v>45940.43907407407</v>
      </c>
      <c r="C157" s="1" t="n">
        <v>46021</v>
      </c>
      <c r="D157" t="inlineStr">
        <is>
          <t>VÄSTERBOTTENS LÄN</t>
        </is>
      </c>
      <c r="E157" t="inlineStr">
        <is>
          <t>VÄNNÄS</t>
        </is>
      </c>
      <c r="F157" t="inlineStr">
        <is>
          <t>Holmen skog AB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25205-2025</t>
        </is>
      </c>
      <c r="B158" s="1" t="n">
        <v>45800.46907407408</v>
      </c>
      <c r="C158" s="1" t="n">
        <v>46021</v>
      </c>
      <c r="D158" t="inlineStr">
        <is>
          <t>VÄSTERBOTTENS LÄN</t>
        </is>
      </c>
      <c r="E158" t="inlineStr">
        <is>
          <t>VÄNNÄS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24868-2025</t>
        </is>
      </c>
      <c r="B159" s="1" t="n">
        <v>45799.48819444444</v>
      </c>
      <c r="C159" s="1" t="n">
        <v>46021</v>
      </c>
      <c r="D159" t="inlineStr">
        <is>
          <t>VÄSTERBOTTENS LÄN</t>
        </is>
      </c>
      <c r="E159" t="inlineStr">
        <is>
          <t>VÄNNÄS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24812-2025</t>
        </is>
      </c>
      <c r="B160" s="1" t="n">
        <v>45799.44790509259</v>
      </c>
      <c r="C160" s="1" t="n">
        <v>46021</v>
      </c>
      <c r="D160" t="inlineStr">
        <is>
          <t>VÄSTERBOTTENS LÄN</t>
        </is>
      </c>
      <c r="E160" t="inlineStr">
        <is>
          <t>VÄNNÄS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24856-2025</t>
        </is>
      </c>
      <c r="B161" s="1" t="n">
        <v>45799.47508101852</v>
      </c>
      <c r="C161" s="1" t="n">
        <v>46021</v>
      </c>
      <c r="D161" t="inlineStr">
        <is>
          <t>VÄSTERBOTTENS LÄN</t>
        </is>
      </c>
      <c r="E161" t="inlineStr">
        <is>
          <t>VÄNNÄS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33226-2021</t>
        </is>
      </c>
      <c r="B162" s="1" t="n">
        <v>44376</v>
      </c>
      <c r="C162" s="1" t="n">
        <v>46021</v>
      </c>
      <c r="D162" t="inlineStr">
        <is>
          <t>VÄSTERBOTTENS LÄN</t>
        </is>
      </c>
      <c r="E162" t="inlineStr">
        <is>
          <t>VÄNNÄS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24846-2025</t>
        </is>
      </c>
      <c r="B163" s="1" t="n">
        <v>45799.46851851852</v>
      </c>
      <c r="C163" s="1" t="n">
        <v>46021</v>
      </c>
      <c r="D163" t="inlineStr">
        <is>
          <t>VÄSTERBOTTENS LÄN</t>
        </is>
      </c>
      <c r="E163" t="inlineStr">
        <is>
          <t>VÄNNÄS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49520-2025</t>
        </is>
      </c>
      <c r="B164" s="1" t="n">
        <v>45939.39337962963</v>
      </c>
      <c r="C164" s="1" t="n">
        <v>46021</v>
      </c>
      <c r="D164" t="inlineStr">
        <is>
          <t>VÄSTERBOTTENS LÄN</t>
        </is>
      </c>
      <c r="E164" t="inlineStr">
        <is>
          <t>VÄNNÄS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24792-2025</t>
        </is>
      </c>
      <c r="B165" s="1" t="n">
        <v>45799</v>
      </c>
      <c r="C165" s="1" t="n">
        <v>46021</v>
      </c>
      <c r="D165" t="inlineStr">
        <is>
          <t>VÄSTERBOTTENS LÄN</t>
        </is>
      </c>
      <c r="E165" t="inlineStr">
        <is>
          <t>VÄNNÄS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18380-2025</t>
        </is>
      </c>
      <c r="B166" s="1" t="n">
        <v>45762.57891203704</v>
      </c>
      <c r="C166" s="1" t="n">
        <v>46021</v>
      </c>
      <c r="D166" t="inlineStr">
        <is>
          <t>VÄSTERBOTTENS LÄN</t>
        </is>
      </c>
      <c r="E166" t="inlineStr">
        <is>
          <t>VÄNNÄS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18231-2025</t>
        </is>
      </c>
      <c r="B167" s="1" t="n">
        <v>45761.87467592592</v>
      </c>
      <c r="C167" s="1" t="n">
        <v>46021</v>
      </c>
      <c r="D167" t="inlineStr">
        <is>
          <t>VÄSTERBOTTENS LÄN</t>
        </is>
      </c>
      <c r="E167" t="inlineStr">
        <is>
          <t>VÄNNÄS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31132-2023</t>
        </is>
      </c>
      <c r="B168" s="1" t="n">
        <v>45103</v>
      </c>
      <c r="C168" s="1" t="n">
        <v>46021</v>
      </c>
      <c r="D168" t="inlineStr">
        <is>
          <t>VÄSTERBOTTENS LÄN</t>
        </is>
      </c>
      <c r="E168" t="inlineStr">
        <is>
          <t>VÄNNÄS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49559-2025</t>
        </is>
      </c>
      <c r="B169" s="1" t="n">
        <v>45939.45946759259</v>
      </c>
      <c r="C169" s="1" t="n">
        <v>46021</v>
      </c>
      <c r="D169" t="inlineStr">
        <is>
          <t>VÄSTERBOTTENS LÄN</t>
        </is>
      </c>
      <c r="E169" t="inlineStr">
        <is>
          <t>VÄNNÄS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20228-2023</t>
        </is>
      </c>
      <c r="B170" s="1" t="n">
        <v>45055</v>
      </c>
      <c r="C170" s="1" t="n">
        <v>46021</v>
      </c>
      <c r="D170" t="inlineStr">
        <is>
          <t>VÄSTERBOTTENS LÄN</t>
        </is>
      </c>
      <c r="E170" t="inlineStr">
        <is>
          <t>VÄNNÄS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26665-2025</t>
        </is>
      </c>
      <c r="B171" s="1" t="n">
        <v>45810</v>
      </c>
      <c r="C171" s="1" t="n">
        <v>46021</v>
      </c>
      <c r="D171" t="inlineStr">
        <is>
          <t>VÄSTERBOTTENS LÄN</t>
        </is>
      </c>
      <c r="E171" t="inlineStr">
        <is>
          <t>VÄNNÄS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26576-2025</t>
        </is>
      </c>
      <c r="B172" s="1" t="n">
        <v>45807.68725694445</v>
      </c>
      <c r="C172" s="1" t="n">
        <v>46021</v>
      </c>
      <c r="D172" t="inlineStr">
        <is>
          <t>VÄSTERBOTTENS LÄN</t>
        </is>
      </c>
      <c r="E172" t="inlineStr">
        <is>
          <t>VÄNNÄS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31839-2024</t>
        </is>
      </c>
      <c r="B173" s="1" t="n">
        <v>45509.65498842593</v>
      </c>
      <c r="C173" s="1" t="n">
        <v>46021</v>
      </c>
      <c r="D173" t="inlineStr">
        <is>
          <t>VÄSTERBOTTENS LÄN</t>
        </is>
      </c>
      <c r="E173" t="inlineStr">
        <is>
          <t>VÄNNÄS</t>
        </is>
      </c>
      <c r="F173" t="inlineStr">
        <is>
          <t>Holmen skog AB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58584-2025</t>
        </is>
      </c>
      <c r="B174" s="1" t="n">
        <v>45986.39486111111</v>
      </c>
      <c r="C174" s="1" t="n">
        <v>46021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22002-2023</t>
        </is>
      </c>
      <c r="B175" s="1" t="n">
        <v>45068.92707175926</v>
      </c>
      <c r="C175" s="1" t="n">
        <v>46021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29476-2023</t>
        </is>
      </c>
      <c r="B176" s="1" t="n">
        <v>45106.57149305556</v>
      </c>
      <c r="C176" s="1" t="n">
        <v>46021</v>
      </c>
      <c r="D176" t="inlineStr">
        <is>
          <t>VÄSTERBOTTENS LÄN</t>
        </is>
      </c>
      <c r="E176" t="inlineStr">
        <is>
          <t>VÄNNÄS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29485-2023</t>
        </is>
      </c>
      <c r="B177" s="1" t="n">
        <v>45106</v>
      </c>
      <c r="C177" s="1" t="n">
        <v>46021</v>
      </c>
      <c r="D177" t="inlineStr">
        <is>
          <t>VÄSTERBOTTENS LÄN</t>
        </is>
      </c>
      <c r="E177" t="inlineStr">
        <is>
          <t>VÄNNÄS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58637-2025</t>
        </is>
      </c>
      <c r="B178" s="1" t="n">
        <v>45986.49008101852</v>
      </c>
      <c r="C178" s="1" t="n">
        <v>46021</v>
      </c>
      <c r="D178" t="inlineStr">
        <is>
          <t>VÄSTERBOTTENS LÄN</t>
        </is>
      </c>
      <c r="E178" t="inlineStr">
        <is>
          <t>VÄNNÄS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1920-2021</t>
        </is>
      </c>
      <c r="B179" s="1" t="n">
        <v>44210</v>
      </c>
      <c r="C179" s="1" t="n">
        <v>46021</v>
      </c>
      <c r="D179" t="inlineStr">
        <is>
          <t>VÄSTERBOTTENS LÄN</t>
        </is>
      </c>
      <c r="E179" t="inlineStr">
        <is>
          <t>VÄNNÄS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28694-2025</t>
        </is>
      </c>
      <c r="B180" s="1" t="n">
        <v>45819.88594907407</v>
      </c>
      <c r="C180" s="1" t="n">
        <v>46021</v>
      </c>
      <c r="D180" t="inlineStr">
        <is>
          <t>VÄSTERBOTTENS LÄN</t>
        </is>
      </c>
      <c r="E180" t="inlineStr">
        <is>
          <t>VÄNNÄS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42317-2023</t>
        </is>
      </c>
      <c r="B181" s="1" t="n">
        <v>45175</v>
      </c>
      <c r="C181" s="1" t="n">
        <v>46021</v>
      </c>
      <c r="D181" t="inlineStr">
        <is>
          <t>VÄSTERBOTTENS LÄN</t>
        </is>
      </c>
      <c r="E181" t="inlineStr">
        <is>
          <t>VÄNNÄS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42327-2023</t>
        </is>
      </c>
      <c r="B182" s="1" t="n">
        <v>45175</v>
      </c>
      <c r="C182" s="1" t="n">
        <v>46021</v>
      </c>
      <c r="D182" t="inlineStr">
        <is>
          <t>VÄSTERBOTTENS LÄN</t>
        </is>
      </c>
      <c r="E182" t="inlineStr">
        <is>
          <t>VÄNNÄS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9039-2024</t>
        </is>
      </c>
      <c r="B183" s="1" t="n">
        <v>45356</v>
      </c>
      <c r="C183" s="1" t="n">
        <v>46021</v>
      </c>
      <c r="D183" t="inlineStr">
        <is>
          <t>VÄSTERBOTTENS LÄN</t>
        </is>
      </c>
      <c r="E183" t="inlineStr">
        <is>
          <t>VÄNNÄS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29912-2025</t>
        </is>
      </c>
      <c r="B184" s="1" t="n">
        <v>45826.40885416666</v>
      </c>
      <c r="C184" s="1" t="n">
        <v>46021</v>
      </c>
      <c r="D184" t="inlineStr">
        <is>
          <t>VÄSTERBOTTENS LÄN</t>
        </is>
      </c>
      <c r="E184" t="inlineStr">
        <is>
          <t>VÄNNÄS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55173-2023</t>
        </is>
      </c>
      <c r="B185" s="1" t="n">
        <v>45237</v>
      </c>
      <c r="C185" s="1" t="n">
        <v>46021</v>
      </c>
      <c r="D185" t="inlineStr">
        <is>
          <t>VÄSTERBOTTENS LÄN</t>
        </is>
      </c>
      <c r="E185" t="inlineStr">
        <is>
          <t>VÄNNÄS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30163-2025</t>
        </is>
      </c>
      <c r="B186" s="1" t="n">
        <v>45827.32722222222</v>
      </c>
      <c r="C186" s="1" t="n">
        <v>46021</v>
      </c>
      <c r="D186" t="inlineStr">
        <is>
          <t>VÄSTERBOTTENS LÄN</t>
        </is>
      </c>
      <c r="E186" t="inlineStr">
        <is>
          <t>VÄNNÄS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54793-2023</t>
        </is>
      </c>
      <c r="B187" s="1" t="n">
        <v>45229</v>
      </c>
      <c r="C187" s="1" t="n">
        <v>46021</v>
      </c>
      <c r="D187" t="inlineStr">
        <is>
          <t>VÄSTERBOTTENS LÄN</t>
        </is>
      </c>
      <c r="E187" t="inlineStr">
        <is>
          <t>VÄNNÄS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35734-2024</t>
        </is>
      </c>
      <c r="B188" s="1" t="n">
        <v>45532</v>
      </c>
      <c r="C188" s="1" t="n">
        <v>46021</v>
      </c>
      <c r="D188" t="inlineStr">
        <is>
          <t>VÄSTERBOTTENS LÄN</t>
        </is>
      </c>
      <c r="E188" t="inlineStr">
        <is>
          <t>VÄNNÄS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64966-2023</t>
        </is>
      </c>
      <c r="B189" s="1" t="n">
        <v>45283</v>
      </c>
      <c r="C189" s="1" t="n">
        <v>46021</v>
      </c>
      <c r="D189" t="inlineStr">
        <is>
          <t>VÄSTERBOTTENS LÄN</t>
        </is>
      </c>
      <c r="E189" t="inlineStr">
        <is>
          <t>VÄNNÄS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35006-2024</t>
        </is>
      </c>
      <c r="B190" s="1" t="n">
        <v>45527</v>
      </c>
      <c r="C190" s="1" t="n">
        <v>46021</v>
      </c>
      <c r="D190" t="inlineStr">
        <is>
          <t>VÄSTERBOTTENS LÄN</t>
        </is>
      </c>
      <c r="E190" t="inlineStr">
        <is>
          <t>VÄNNÄS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31986-2025</t>
        </is>
      </c>
      <c r="B191" s="1" t="n">
        <v>45835.36210648148</v>
      </c>
      <c r="C191" s="1" t="n">
        <v>46021</v>
      </c>
      <c r="D191" t="inlineStr">
        <is>
          <t>VÄSTERBOTTENS LÄN</t>
        </is>
      </c>
      <c r="E191" t="inlineStr">
        <is>
          <t>VÄNNÄS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51605-2025</t>
        </is>
      </c>
      <c r="B192" s="1" t="n">
        <v>45951.38592592593</v>
      </c>
      <c r="C192" s="1" t="n">
        <v>46021</v>
      </c>
      <c r="D192" t="inlineStr">
        <is>
          <t>VÄSTERBOTTENS LÄN</t>
        </is>
      </c>
      <c r="E192" t="inlineStr">
        <is>
          <t>VÄNNÄS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51737-2025</t>
        </is>
      </c>
      <c r="B193" s="1" t="n">
        <v>45951.59630787037</v>
      </c>
      <c r="C193" s="1" t="n">
        <v>46021</v>
      </c>
      <c r="D193" t="inlineStr">
        <is>
          <t>VÄSTERBOTTENS LÄN</t>
        </is>
      </c>
      <c r="E193" t="inlineStr">
        <is>
          <t>VÄNNÄS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59867-2025</t>
        </is>
      </c>
      <c r="B194" s="1" t="n">
        <v>45992.87564814815</v>
      </c>
      <c r="C194" s="1" t="n">
        <v>46021</v>
      </c>
      <c r="D194" t="inlineStr">
        <is>
          <t>VÄSTERBOTTENS LÄN</t>
        </is>
      </c>
      <c r="E194" t="inlineStr">
        <is>
          <t>VÄNNÄS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51722-2025</t>
        </is>
      </c>
      <c r="B195" s="1" t="n">
        <v>45951.58085648148</v>
      </c>
      <c r="C195" s="1" t="n">
        <v>46021</v>
      </c>
      <c r="D195" t="inlineStr">
        <is>
          <t>VÄSTERBOTTENS LÄN</t>
        </is>
      </c>
      <c r="E195" t="inlineStr">
        <is>
          <t>VÄNNÄS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51553-2025</t>
        </is>
      </c>
      <c r="B196" s="1" t="n">
        <v>45950.87297453704</v>
      </c>
      <c r="C196" s="1" t="n">
        <v>46021</v>
      </c>
      <c r="D196" t="inlineStr">
        <is>
          <t>VÄSTERBOTTENS LÄN</t>
        </is>
      </c>
      <c r="E196" t="inlineStr">
        <is>
          <t>VÄNNÄS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60619-2025</t>
        </is>
      </c>
      <c r="B197" s="1" t="n">
        <v>45996.38447916666</v>
      </c>
      <c r="C197" s="1" t="n">
        <v>46021</v>
      </c>
      <c r="D197" t="inlineStr">
        <is>
          <t>VÄSTERBOTTENS LÄN</t>
        </is>
      </c>
      <c r="E197" t="inlineStr">
        <is>
          <t>VÄNNÄS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35011-2024</t>
        </is>
      </c>
      <c r="B198" s="1" t="n">
        <v>45527</v>
      </c>
      <c r="C198" s="1" t="n">
        <v>46021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60533-2025</t>
        </is>
      </c>
      <c r="B199" s="1" t="n">
        <v>45995.65939814815</v>
      </c>
      <c r="C199" s="1" t="n">
        <v>46021</v>
      </c>
      <c r="D199" t="inlineStr">
        <is>
          <t>VÄSTERBOTTENS LÄN</t>
        </is>
      </c>
      <c r="E199" t="inlineStr">
        <is>
          <t>VÄNNÄS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27110-2024</t>
        </is>
      </c>
      <c r="B200" s="1" t="n">
        <v>45471.50009259259</v>
      </c>
      <c r="C200" s="1" t="n">
        <v>46021</v>
      </c>
      <c r="D200" t="inlineStr">
        <is>
          <t>VÄSTERBOTTENS LÄN</t>
        </is>
      </c>
      <c r="E200" t="inlineStr">
        <is>
          <t>VÄNNÄS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8939-2025</t>
        </is>
      </c>
      <c r="B201" s="1" t="n">
        <v>45713.4485300926</v>
      </c>
      <c r="C201" s="1" t="n">
        <v>46021</v>
      </c>
      <c r="D201" t="inlineStr">
        <is>
          <t>VÄSTERBOTTENS LÄN</t>
        </is>
      </c>
      <c r="E201" t="inlineStr">
        <is>
          <t>VÄNNÄS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35360-2023</t>
        </is>
      </c>
      <c r="B202" s="1" t="n">
        <v>45146.52483796296</v>
      </c>
      <c r="C202" s="1" t="n">
        <v>46021</v>
      </c>
      <c r="D202" t="inlineStr">
        <is>
          <t>VÄSTERBOTTENS LÄN</t>
        </is>
      </c>
      <c r="E202" t="inlineStr">
        <is>
          <t>VÄNNÄS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61182-2025</t>
        </is>
      </c>
      <c r="B203" s="1" t="n">
        <v>46000.58409722222</v>
      </c>
      <c r="C203" s="1" t="n">
        <v>46021</v>
      </c>
      <c r="D203" t="inlineStr">
        <is>
          <t>VÄSTERBOTTENS LÄN</t>
        </is>
      </c>
      <c r="E203" t="inlineStr">
        <is>
          <t>VÄNNÄS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35123-2023</t>
        </is>
      </c>
      <c r="B204" s="1" t="n">
        <v>45145.50380787037</v>
      </c>
      <c r="C204" s="1" t="n">
        <v>46021</v>
      </c>
      <c r="D204" t="inlineStr">
        <is>
          <t>VÄSTERBOTTENS LÄN</t>
        </is>
      </c>
      <c r="E204" t="inlineStr">
        <is>
          <t>VÄNNÄS</t>
        </is>
      </c>
      <c r="F204" t="inlineStr">
        <is>
          <t>Holmen skog AB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36801-2025</t>
        </is>
      </c>
      <c r="B205" s="1" t="n">
        <v>45873.66607638889</v>
      </c>
      <c r="C205" s="1" t="n">
        <v>46021</v>
      </c>
      <c r="D205" t="inlineStr">
        <is>
          <t>VÄSTERBOTTENS LÄN</t>
        </is>
      </c>
      <c r="E205" t="inlineStr">
        <is>
          <t>VÄNNÄS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46726-2024</t>
        </is>
      </c>
      <c r="B206" s="1" t="n">
        <v>45583.46103009259</v>
      </c>
      <c r="C206" s="1" t="n">
        <v>46021</v>
      </c>
      <c r="D206" t="inlineStr">
        <is>
          <t>VÄSTERBOTTENS LÄN</t>
        </is>
      </c>
      <c r="E206" t="inlineStr">
        <is>
          <t>VÄNNÄS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46501-2024</t>
        </is>
      </c>
      <c r="B207" s="1" t="n">
        <v>45582.6006712963</v>
      </c>
      <c r="C207" s="1" t="n">
        <v>46021</v>
      </c>
      <c r="D207" t="inlineStr">
        <is>
          <t>VÄSTERBOTTENS LÄN</t>
        </is>
      </c>
      <c r="E207" t="inlineStr">
        <is>
          <t>VÄNNÄS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52842-2025</t>
        </is>
      </c>
      <c r="B208" s="1" t="n">
        <v>45957.47827546296</v>
      </c>
      <c r="C208" s="1" t="n">
        <v>46021</v>
      </c>
      <c r="D208" t="inlineStr">
        <is>
          <t>VÄSTERBOTTENS LÄN</t>
        </is>
      </c>
      <c r="E208" t="inlineStr">
        <is>
          <t>VÄNNÄS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61118-2025</t>
        </is>
      </c>
      <c r="B209" s="1" t="n">
        <v>46000.46293981482</v>
      </c>
      <c r="C209" s="1" t="n">
        <v>46021</v>
      </c>
      <c r="D209" t="inlineStr">
        <is>
          <t>VÄSTERBOTTENS LÄN</t>
        </is>
      </c>
      <c r="E209" t="inlineStr">
        <is>
          <t>VÄNNÄS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31867-2023</t>
        </is>
      </c>
      <c r="B210" s="1" t="n">
        <v>45118.61844907407</v>
      </c>
      <c r="C210" s="1" t="n">
        <v>46021</v>
      </c>
      <c r="D210" t="inlineStr">
        <is>
          <t>VÄSTERBOTTENS LÄN</t>
        </is>
      </c>
      <c r="E210" t="inlineStr">
        <is>
          <t>VÄNNÄS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61204-2025</t>
        </is>
      </c>
      <c r="B211" s="1" t="n">
        <v>46000.61395833334</v>
      </c>
      <c r="C211" s="1" t="n">
        <v>46021</v>
      </c>
      <c r="D211" t="inlineStr">
        <is>
          <t>VÄSTERBOTTENS LÄN</t>
        </is>
      </c>
      <c r="E211" t="inlineStr">
        <is>
          <t>VÄNNÄS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33319-2023</t>
        </is>
      </c>
      <c r="B212" s="1" t="n">
        <v>45127.88890046296</v>
      </c>
      <c r="C212" s="1" t="n">
        <v>46021</v>
      </c>
      <c r="D212" t="inlineStr">
        <is>
          <t>VÄSTERBOTTENS LÄN</t>
        </is>
      </c>
      <c r="E212" t="inlineStr">
        <is>
          <t>VÄNNÄS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52820-2025</t>
        </is>
      </c>
      <c r="B213" s="1" t="n">
        <v>45957.45483796296</v>
      </c>
      <c r="C213" s="1" t="n">
        <v>46021</v>
      </c>
      <c r="D213" t="inlineStr">
        <is>
          <t>VÄSTERBOTTENS LÄN</t>
        </is>
      </c>
      <c r="E213" t="inlineStr">
        <is>
          <t>VÄNNÄS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61176-2025</t>
        </is>
      </c>
      <c r="B214" s="1" t="n">
        <v>46000.57684027778</v>
      </c>
      <c r="C214" s="1" t="n">
        <v>46021</v>
      </c>
      <c r="D214" t="inlineStr">
        <is>
          <t>VÄSTERBOTTENS LÄN</t>
        </is>
      </c>
      <c r="E214" t="inlineStr">
        <is>
          <t>VÄNNÄS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17981-2024</t>
        </is>
      </c>
      <c r="B215" s="1" t="n">
        <v>45419</v>
      </c>
      <c r="C215" s="1" t="n">
        <v>46021</v>
      </c>
      <c r="D215" t="inlineStr">
        <is>
          <t>VÄSTERBOTTENS LÄN</t>
        </is>
      </c>
      <c r="E215" t="inlineStr">
        <is>
          <t>VÄNNÄS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61127-2025</t>
        </is>
      </c>
      <c r="B216" s="1" t="n">
        <v>46000.48337962963</v>
      </c>
      <c r="C216" s="1" t="n">
        <v>46021</v>
      </c>
      <c r="D216" t="inlineStr">
        <is>
          <t>VÄSTERBOTTENS LÄN</t>
        </is>
      </c>
      <c r="E216" t="inlineStr">
        <is>
          <t>VÄNNÄS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61216-2025</t>
        </is>
      </c>
      <c r="B217" s="1" t="n">
        <v>46000.62005787037</v>
      </c>
      <c r="C217" s="1" t="n">
        <v>46021</v>
      </c>
      <c r="D217" t="inlineStr">
        <is>
          <t>VÄSTERBOTTENS LÄN</t>
        </is>
      </c>
      <c r="E217" t="inlineStr">
        <is>
          <t>VÄNNÄS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61158-2025</t>
        </is>
      </c>
      <c r="B218" s="1" t="n">
        <v>46000.55134259259</v>
      </c>
      <c r="C218" s="1" t="n">
        <v>46021</v>
      </c>
      <c r="D218" t="inlineStr">
        <is>
          <t>VÄSTERBOTTENS LÄN</t>
        </is>
      </c>
      <c r="E218" t="inlineStr">
        <is>
          <t>VÄNNÄS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61142-2025</t>
        </is>
      </c>
      <c r="B219" s="1" t="n">
        <v>46000.51967592593</v>
      </c>
      <c r="C219" s="1" t="n">
        <v>46021</v>
      </c>
      <c r="D219" t="inlineStr">
        <is>
          <t>VÄSTERBOTTENS LÄN</t>
        </is>
      </c>
      <c r="E219" t="inlineStr">
        <is>
          <t>VÄNNÄS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45899-2024</t>
        </is>
      </c>
      <c r="B220" s="1" t="n">
        <v>45580.43047453704</v>
      </c>
      <c r="C220" s="1" t="n">
        <v>46021</v>
      </c>
      <c r="D220" t="inlineStr">
        <is>
          <t>VÄSTERBOTTENS LÄN</t>
        </is>
      </c>
      <c r="E220" t="inlineStr">
        <is>
          <t>VÄNNÄS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52845-2025</t>
        </is>
      </c>
      <c r="B221" s="1" t="n">
        <v>45957.48430555555</v>
      </c>
      <c r="C221" s="1" t="n">
        <v>46021</v>
      </c>
      <c r="D221" t="inlineStr">
        <is>
          <t>VÄSTERBOTTENS LÄN</t>
        </is>
      </c>
      <c r="E221" t="inlineStr">
        <is>
          <t>VÄNNÄS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61155-2025</t>
        </is>
      </c>
      <c r="B222" s="1" t="n">
        <v>46000.54702546296</v>
      </c>
      <c r="C222" s="1" t="n">
        <v>46021</v>
      </c>
      <c r="D222" t="inlineStr">
        <is>
          <t>VÄSTERBOTTENS LÄN</t>
        </is>
      </c>
      <c r="E222" t="inlineStr">
        <is>
          <t>VÄNNÄS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31817-2024</t>
        </is>
      </c>
      <c r="B223" s="1" t="n">
        <v>45509</v>
      </c>
      <c r="C223" s="1" t="n">
        <v>46021</v>
      </c>
      <c r="D223" t="inlineStr">
        <is>
          <t>VÄSTERBOTTENS LÄN</t>
        </is>
      </c>
      <c r="E223" t="inlineStr">
        <is>
          <t>VÄNNÄS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52835-2025</t>
        </is>
      </c>
      <c r="B224" s="1" t="n">
        <v>45957.47133101852</v>
      </c>
      <c r="C224" s="1" t="n">
        <v>46021</v>
      </c>
      <c r="D224" t="inlineStr">
        <is>
          <t>VÄSTERBOTTENS LÄN</t>
        </is>
      </c>
      <c r="E224" t="inlineStr">
        <is>
          <t>VÄNNÄS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37364-2025</t>
        </is>
      </c>
      <c r="B225" s="1" t="n">
        <v>45877.32516203704</v>
      </c>
      <c r="C225" s="1" t="n">
        <v>46021</v>
      </c>
      <c r="D225" t="inlineStr">
        <is>
          <t>VÄSTERBOTTENS LÄN</t>
        </is>
      </c>
      <c r="E225" t="inlineStr">
        <is>
          <t>VÄNNÄS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61403-2025</t>
        </is>
      </c>
      <c r="B226" s="1" t="n">
        <v>46001.48989583334</v>
      </c>
      <c r="C226" s="1" t="n">
        <v>46021</v>
      </c>
      <c r="D226" t="inlineStr">
        <is>
          <t>VÄSTERBOTTENS LÄN</t>
        </is>
      </c>
      <c r="E226" t="inlineStr">
        <is>
          <t>VÄNNÄS</t>
        </is>
      </c>
      <c r="G226" t="n">
        <v>12.8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25347-2024</t>
        </is>
      </c>
      <c r="B227" s="1" t="n">
        <v>45462</v>
      </c>
      <c r="C227" s="1" t="n">
        <v>46021</v>
      </c>
      <c r="D227" t="inlineStr">
        <is>
          <t>VÄSTERBOTTENS LÄN</t>
        </is>
      </c>
      <c r="E227" t="inlineStr">
        <is>
          <t>VÄNNÄS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52531-2024</t>
        </is>
      </c>
      <c r="B228" s="1" t="n">
        <v>45609.61578703704</v>
      </c>
      <c r="C228" s="1" t="n">
        <v>46021</v>
      </c>
      <c r="D228" t="inlineStr">
        <is>
          <t>VÄSTERBOTTENS LÄN</t>
        </is>
      </c>
      <c r="E228" t="inlineStr">
        <is>
          <t>VÄNNÄS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52533-2024</t>
        </is>
      </c>
      <c r="B229" s="1" t="n">
        <v>45609.61697916667</v>
      </c>
      <c r="C229" s="1" t="n">
        <v>46021</v>
      </c>
      <c r="D229" t="inlineStr">
        <is>
          <t>VÄSTERBOTTENS LÄN</t>
        </is>
      </c>
      <c r="E229" t="inlineStr">
        <is>
          <t>VÄNNÄS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8940-2025</t>
        </is>
      </c>
      <c r="B230" s="1" t="n">
        <v>45713.44855324074</v>
      </c>
      <c r="C230" s="1" t="n">
        <v>46021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21041-2024</t>
        </is>
      </c>
      <c r="B231" s="1" t="n">
        <v>45439.666875</v>
      </c>
      <c r="C231" s="1" t="n">
        <v>46021</v>
      </c>
      <c r="D231" t="inlineStr">
        <is>
          <t>VÄSTERBOTTENS LÄN</t>
        </is>
      </c>
      <c r="E231" t="inlineStr">
        <is>
          <t>VÄNNÄS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59716-2024</t>
        </is>
      </c>
      <c r="B232" s="1" t="n">
        <v>45639.45857638889</v>
      </c>
      <c r="C232" s="1" t="n">
        <v>46021</v>
      </c>
      <c r="D232" t="inlineStr">
        <is>
          <t>VÄSTERBOTTENS LÄN</t>
        </is>
      </c>
      <c r="E232" t="inlineStr">
        <is>
          <t>VÄNNÄS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50413-2024</t>
        </is>
      </c>
      <c r="B233" s="1" t="n">
        <v>45601.37128472222</v>
      </c>
      <c r="C233" s="1" t="n">
        <v>46021</v>
      </c>
      <c r="D233" t="inlineStr">
        <is>
          <t>VÄSTERBOTTENS LÄN</t>
        </is>
      </c>
      <c r="E233" t="inlineStr">
        <is>
          <t>VÄNNÄS</t>
        </is>
      </c>
      <c r="F233" t="inlineStr">
        <is>
          <t>Holmen skog AB</t>
        </is>
      </c>
      <c r="G233" t="n">
        <v>23.4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47-2025</t>
        </is>
      </c>
      <c r="B234" s="1" t="n">
        <v>45659</v>
      </c>
      <c r="C234" s="1" t="n">
        <v>46021</v>
      </c>
      <c r="D234" t="inlineStr">
        <is>
          <t>VÄSTERBOTTENS LÄN</t>
        </is>
      </c>
      <c r="E234" t="inlineStr">
        <is>
          <t>VÄNNÄS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54243-2025</t>
        </is>
      </c>
      <c r="B235" s="1" t="n">
        <v>45964.63417824074</v>
      </c>
      <c r="C235" s="1" t="n">
        <v>46021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54562-2025</t>
        </is>
      </c>
      <c r="B236" s="1" t="n">
        <v>45965.66751157407</v>
      </c>
      <c r="C236" s="1" t="n">
        <v>46021</v>
      </c>
      <c r="D236" t="inlineStr">
        <is>
          <t>VÄSTERBOTTENS LÄN</t>
        </is>
      </c>
      <c r="E236" t="inlineStr">
        <is>
          <t>VÄNNÄS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54421-2025</t>
        </is>
      </c>
      <c r="B237" s="1" t="n">
        <v>45965.48461805555</v>
      </c>
      <c r="C237" s="1" t="n">
        <v>46021</v>
      </c>
      <c r="D237" t="inlineStr">
        <is>
          <t>VÄSTERBOTTENS LÄN</t>
        </is>
      </c>
      <c r="E237" t="inlineStr">
        <is>
          <t>VÄNNÄS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13762-2025</t>
        </is>
      </c>
      <c r="B238" s="1" t="n">
        <v>45737.43103009259</v>
      </c>
      <c r="C238" s="1" t="n">
        <v>46021</v>
      </c>
      <c r="D238" t="inlineStr">
        <is>
          <t>VÄSTERBOTTENS LÄN</t>
        </is>
      </c>
      <c r="E238" t="inlineStr">
        <is>
          <t>VÄNNÄS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29573-2023</t>
        </is>
      </c>
      <c r="B239" s="1" t="n">
        <v>45098</v>
      </c>
      <c r="C239" s="1" t="n">
        <v>46021</v>
      </c>
      <c r="D239" t="inlineStr">
        <is>
          <t>VÄSTERBOTTENS LÄN</t>
        </is>
      </c>
      <c r="E239" t="inlineStr">
        <is>
          <t>VÄNNÄS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54570-2025</t>
        </is>
      </c>
      <c r="B240" s="1" t="n">
        <v>45965.67487268519</v>
      </c>
      <c r="C240" s="1" t="n">
        <v>46021</v>
      </c>
      <c r="D240" t="inlineStr">
        <is>
          <t>VÄSTERBOTTENS LÄN</t>
        </is>
      </c>
      <c r="E240" t="inlineStr">
        <is>
          <t>VÄNNÄS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61221-2025</t>
        </is>
      </c>
      <c r="B241" s="1" t="n">
        <v>46000</v>
      </c>
      <c r="C241" s="1" t="n">
        <v>46021</v>
      </c>
      <c r="D241" t="inlineStr">
        <is>
          <t>VÄSTERBOTTENS LÄN</t>
        </is>
      </c>
      <c r="E241" t="inlineStr">
        <is>
          <t>VÄNNÄS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62787-2025</t>
        </is>
      </c>
      <c r="B242" s="1" t="n">
        <v>46008.61939814815</v>
      </c>
      <c r="C242" s="1" t="n">
        <v>46021</v>
      </c>
      <c r="D242" t="inlineStr">
        <is>
          <t>VÄSTERBOTTENS LÄN</t>
        </is>
      </c>
      <c r="E242" t="inlineStr">
        <is>
          <t>VÄNNÄS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21135-2024</t>
        </is>
      </c>
      <c r="B243" s="1" t="n">
        <v>45440</v>
      </c>
      <c r="C243" s="1" t="n">
        <v>46021</v>
      </c>
      <c r="D243" t="inlineStr">
        <is>
          <t>VÄSTERBOTTENS LÄN</t>
        </is>
      </c>
      <c r="E243" t="inlineStr">
        <is>
          <t>VÄNNÄS</t>
        </is>
      </c>
      <c r="F243" t="inlineStr">
        <is>
          <t>Holmen skog AB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2942-2025</t>
        </is>
      </c>
      <c r="B244" s="1" t="n">
        <v>45678.39038194445</v>
      </c>
      <c r="C244" s="1" t="n">
        <v>46021</v>
      </c>
      <c r="D244" t="inlineStr">
        <is>
          <t>VÄSTERBOTTENS LÄN</t>
        </is>
      </c>
      <c r="E244" t="inlineStr">
        <is>
          <t>VÄNNÄS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6179-2025</t>
        </is>
      </c>
      <c r="B245" s="1" t="n">
        <v>45698.44835648148</v>
      </c>
      <c r="C245" s="1" t="n">
        <v>46021</v>
      </c>
      <c r="D245" t="inlineStr">
        <is>
          <t>VÄSTERBOTTENS LÄN</t>
        </is>
      </c>
      <c r="E245" t="inlineStr">
        <is>
          <t>VÄNNÄS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55444-2023</t>
        </is>
      </c>
      <c r="B246" s="1" t="n">
        <v>45231</v>
      </c>
      <c r="C246" s="1" t="n">
        <v>46021</v>
      </c>
      <c r="D246" t="inlineStr">
        <is>
          <t>VÄSTERBOTTENS LÄN</t>
        </is>
      </c>
      <c r="E246" t="inlineStr">
        <is>
          <t>VÄNNÄS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63289-2025</t>
        </is>
      </c>
      <c r="B247" s="1" t="n">
        <v>46010.59076388889</v>
      </c>
      <c r="C247" s="1" t="n">
        <v>46021</v>
      </c>
      <c r="D247" t="inlineStr">
        <is>
          <t>VÄSTERBOTTENS LÄN</t>
        </is>
      </c>
      <c r="E247" t="inlineStr">
        <is>
          <t>VÄNNÄS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63160-2025</t>
        </is>
      </c>
      <c r="B248" s="1" t="n">
        <v>46010.37174768518</v>
      </c>
      <c r="C248" s="1" t="n">
        <v>46021</v>
      </c>
      <c r="D248" t="inlineStr">
        <is>
          <t>VÄSTERBOTTENS LÄN</t>
        </is>
      </c>
      <c r="E248" t="inlineStr">
        <is>
          <t>VÄNNÄS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63574-2025</t>
        </is>
      </c>
      <c r="B249" s="1" t="n">
        <v>46013.66307870371</v>
      </c>
      <c r="C249" s="1" t="n">
        <v>46021</v>
      </c>
      <c r="D249" t="inlineStr">
        <is>
          <t>VÄSTERBOTTENS LÄN</t>
        </is>
      </c>
      <c r="E249" t="inlineStr">
        <is>
          <t>VÄNNÄS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2933-2022</t>
        </is>
      </c>
      <c r="B250" s="1" t="n">
        <v>44581</v>
      </c>
      <c r="C250" s="1" t="n">
        <v>46021</v>
      </c>
      <c r="D250" t="inlineStr">
        <is>
          <t>VÄSTERBOTTENS LÄN</t>
        </is>
      </c>
      <c r="E250" t="inlineStr">
        <is>
          <t>VÄNNÄS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17582-2024</t>
        </is>
      </c>
      <c r="B251" s="1" t="n">
        <v>45415</v>
      </c>
      <c r="C251" s="1" t="n">
        <v>46021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63290-2025</t>
        </is>
      </c>
      <c r="B252" s="1" t="n">
        <v>46010.59188657408</v>
      </c>
      <c r="C252" s="1" t="n">
        <v>46021</v>
      </c>
      <c r="D252" t="inlineStr">
        <is>
          <t>VÄSTERBOTTENS LÄN</t>
        </is>
      </c>
      <c r="E252" t="inlineStr">
        <is>
          <t>VÄNNÄS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63295-2025</t>
        </is>
      </c>
      <c r="B253" s="1" t="n">
        <v>46010.59435185185</v>
      </c>
      <c r="C253" s="1" t="n">
        <v>46021</v>
      </c>
      <c r="D253" t="inlineStr">
        <is>
          <t>VÄSTERBOTTENS LÄN</t>
        </is>
      </c>
      <c r="E253" t="inlineStr">
        <is>
          <t>VÄNNÄS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63447-2025</t>
        </is>
      </c>
      <c r="B254" s="1" t="n">
        <v>46013.4020949074</v>
      </c>
      <c r="C254" s="1" t="n">
        <v>46021</v>
      </c>
      <c r="D254" t="inlineStr">
        <is>
          <t>VÄSTERBOTTENS LÄN</t>
        </is>
      </c>
      <c r="E254" t="inlineStr">
        <is>
          <t>VÄNNÄS</t>
        </is>
      </c>
      <c r="F254" t="inlineStr">
        <is>
          <t>Sveaskog</t>
        </is>
      </c>
      <c r="G254" t="n">
        <v>21.4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56320-2025</t>
        </is>
      </c>
      <c r="B255" s="1" t="n">
        <v>45974.63405092592</v>
      </c>
      <c r="C255" s="1" t="n">
        <v>46021</v>
      </c>
      <c r="D255" t="inlineStr">
        <is>
          <t>VÄSTERBOTTENS LÄN</t>
        </is>
      </c>
      <c r="E255" t="inlineStr">
        <is>
          <t>VÄNNÄS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44295-2023</t>
        </is>
      </c>
      <c r="B256" s="1" t="n">
        <v>45188.64064814815</v>
      </c>
      <c r="C256" s="1" t="n">
        <v>46021</v>
      </c>
      <c r="D256" t="inlineStr">
        <is>
          <t>VÄSTERBOTTENS LÄN</t>
        </is>
      </c>
      <c r="E256" t="inlineStr">
        <is>
          <t>VÄNNÄS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56329-2025</t>
        </is>
      </c>
      <c r="B257" s="1" t="n">
        <v>45974.64</v>
      </c>
      <c r="C257" s="1" t="n">
        <v>46021</v>
      </c>
      <c r="D257" t="inlineStr">
        <is>
          <t>VÄSTERBOTTENS LÄN</t>
        </is>
      </c>
      <c r="E257" t="inlineStr">
        <is>
          <t>VÄNNÄS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56553-2025</t>
        </is>
      </c>
      <c r="B258" s="1" t="n">
        <v>45975.48762731482</v>
      </c>
      <c r="C258" s="1" t="n">
        <v>46021</v>
      </c>
      <c r="D258" t="inlineStr">
        <is>
          <t>VÄSTERBOTTENS LÄN</t>
        </is>
      </c>
      <c r="E258" t="inlineStr">
        <is>
          <t>VÄNNÄS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56513-2025</t>
        </is>
      </c>
      <c r="B259" s="1" t="n">
        <v>45975.45373842592</v>
      </c>
      <c r="C259" s="1" t="n">
        <v>46021</v>
      </c>
      <c r="D259" t="inlineStr">
        <is>
          <t>VÄSTERBOTTENS LÄN</t>
        </is>
      </c>
      <c r="E259" t="inlineStr">
        <is>
          <t>VÄNNÄS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56835-2025</t>
        </is>
      </c>
      <c r="B260" s="1" t="n">
        <v>45978.47366898148</v>
      </c>
      <c r="C260" s="1" t="n">
        <v>46021</v>
      </c>
      <c r="D260" t="inlineStr">
        <is>
          <t>VÄSTERBOTTENS LÄN</t>
        </is>
      </c>
      <c r="E260" t="inlineStr">
        <is>
          <t>VÄNNÄS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56966-2025</t>
        </is>
      </c>
      <c r="B261" s="1" t="n">
        <v>45978.67543981481</v>
      </c>
      <c r="C261" s="1" t="n">
        <v>46021</v>
      </c>
      <c r="D261" t="inlineStr">
        <is>
          <t>VÄSTERBOTTENS LÄN</t>
        </is>
      </c>
      <c r="E261" t="inlineStr">
        <is>
          <t>VÄNNÄS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59253-2024</t>
        </is>
      </c>
      <c r="B262" s="1" t="n">
        <v>45637.59724537037</v>
      </c>
      <c r="C262" s="1" t="n">
        <v>46021</v>
      </c>
      <c r="D262" t="inlineStr">
        <is>
          <t>VÄSTERBOTTENS LÄN</t>
        </is>
      </c>
      <c r="E262" t="inlineStr">
        <is>
          <t>VÄNNÄS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56831-2025</t>
        </is>
      </c>
      <c r="B263" s="1" t="n">
        <v>45978.46716435185</v>
      </c>
      <c r="C263" s="1" t="n">
        <v>46021</v>
      </c>
      <c r="D263" t="inlineStr">
        <is>
          <t>VÄSTERBOTTENS LÄN</t>
        </is>
      </c>
      <c r="E263" t="inlineStr">
        <is>
          <t>VÄNNÄS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56622-2025</t>
        </is>
      </c>
      <c r="B264" s="1" t="n">
        <v>45975.60040509259</v>
      </c>
      <c r="C264" s="1" t="n">
        <v>46021</v>
      </c>
      <c r="D264" t="inlineStr">
        <is>
          <t>VÄSTERBOTTENS LÄN</t>
        </is>
      </c>
      <c r="E264" t="inlineStr">
        <is>
          <t>VÄNNÄS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30221-2023</t>
        </is>
      </c>
      <c r="B265" s="1" t="n">
        <v>45099</v>
      </c>
      <c r="C265" s="1" t="n">
        <v>46021</v>
      </c>
      <c r="D265" t="inlineStr">
        <is>
          <t>VÄSTERBOTTENS LÄN</t>
        </is>
      </c>
      <c r="E265" t="inlineStr">
        <is>
          <t>VÄNNÄS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56833-2025</t>
        </is>
      </c>
      <c r="B266" s="1" t="n">
        <v>45978.47253472222</v>
      </c>
      <c r="C266" s="1" t="n">
        <v>46021</v>
      </c>
      <c r="D266" t="inlineStr">
        <is>
          <t>VÄSTERBOTTENS LÄN</t>
        </is>
      </c>
      <c r="E266" t="inlineStr">
        <is>
          <t>VÄNNÄS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59771-2023</t>
        </is>
      </c>
      <c r="B267" s="1" t="n">
        <v>45257</v>
      </c>
      <c r="C267" s="1" t="n">
        <v>46021</v>
      </c>
      <c r="D267" t="inlineStr">
        <is>
          <t>VÄSTERBOTTENS LÄN</t>
        </is>
      </c>
      <c r="E267" t="inlineStr">
        <is>
          <t>VÄNNÄS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16471-2025</t>
        </is>
      </c>
      <c r="B268" s="1" t="n">
        <v>45751.54825231482</v>
      </c>
      <c r="C268" s="1" t="n">
        <v>46021</v>
      </c>
      <c r="D268" t="inlineStr">
        <is>
          <t>VÄSTERBOTTENS LÄN</t>
        </is>
      </c>
      <c r="E268" t="inlineStr">
        <is>
          <t>VÄNNÄS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47771-2022</t>
        </is>
      </c>
      <c r="B269" s="1" t="n">
        <v>44854</v>
      </c>
      <c r="C269" s="1" t="n">
        <v>46021</v>
      </c>
      <c r="D269" t="inlineStr">
        <is>
          <t>VÄSTERBOTTENS LÄN</t>
        </is>
      </c>
      <c r="E269" t="inlineStr">
        <is>
          <t>VÄNNÄS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8993-2024</t>
        </is>
      </c>
      <c r="B270" s="1" t="n">
        <v>45357.55085648148</v>
      </c>
      <c r="C270" s="1" t="n">
        <v>46021</v>
      </c>
      <c r="D270" t="inlineStr">
        <is>
          <t>VÄSTERBOTTENS LÄN</t>
        </is>
      </c>
      <c r="E270" t="inlineStr">
        <is>
          <t>VÄNNÄS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19734-2025</t>
        </is>
      </c>
      <c r="B271" s="1" t="n">
        <v>45771.36695601852</v>
      </c>
      <c r="C271" s="1" t="n">
        <v>46021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2025-12-30T09:57:29Z</dcterms:created>
  <dcterms:modified xmlns:dcterms="http://purl.org/dc/terms/" xmlns:xsi="http://www.w3.org/2001/XMLSchema-instance" xsi:type="dcterms:W3CDTF">2025-12-30T09:57:29Z</dcterms:modified>
</cp:coreProperties>
</file>