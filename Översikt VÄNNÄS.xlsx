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46222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s="2" t="inlineStr">
        <is>
          <t>Garnlav
Mörk kolflarnlav
Tretåig hackspett
Vedskivlav
Stuplav</t>
        </is>
      </c>
      <c r="V7">
        <f>HYPERLINK("https://klasma.github.io/Logging_2460/artfynd/A 23707-2026 artfynd.xlsx", "A 23707-2026")</f>
        <v/>
      </c>
      <c r="W7">
        <f>HYPERLINK("https://klasma.github.io/Logging_2460/kartor/A 23707-2026 karta.png", "A 23707-2026")</f>
        <v/>
      </c>
      <c r="Y7">
        <f>HYPERLINK("https://klasma.github.io/Logging_2460/klagomål/A 23707-2026 FSC-klagomål.docx", "A 23707-2026")</f>
        <v/>
      </c>
      <c r="Z7">
        <f>HYPERLINK("https://klasma.github.io/Logging_2460/klagomålsmail/A 23707-2026 FSC-klagomål mail.docx", "A 23707-2026")</f>
        <v/>
      </c>
      <c r="AA7">
        <f>HYPERLINK("https://klasma.github.io/Logging_2460/tillsyn/A 23707-2026 tillsynsbegäran.docx", "A 23707-2026")</f>
        <v/>
      </c>
      <c r="AB7">
        <f>HYPERLINK("https://klasma.github.io/Logging_2460/tillsynsmail/A 23707-2026 tillsynsbegäran mail.docx", "A 23707-2026")</f>
        <v/>
      </c>
      <c r="AC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s="2" t="inlineStr">
        <is>
          <t>Garnlav
Vågbandad barkbock
Spillkråka</t>
        </is>
      </c>
      <c r="V8">
        <f>HYPERLINK("https://klasma.github.io/Logging_2460/artfynd/A 62416-2025 artfynd.xlsx", "A 62416-2025")</f>
        <v/>
      </c>
      <c r="W8">
        <f>HYPERLINK("https://klasma.github.io/Logging_2460/kartor/A 62416-2025 karta.png", "A 62416-2025")</f>
        <v/>
      </c>
      <c r="Y8">
        <f>HYPERLINK("https://klasma.github.io/Logging_2460/klagomål/A 62416-2025 FSC-klagomål.docx", "A 62416-2025")</f>
        <v/>
      </c>
      <c r="Z8">
        <f>HYPERLINK("https://klasma.github.io/Logging_2460/klagomålsmail/A 62416-2025 FSC-klagomål mail.docx", "A 62416-2025")</f>
        <v/>
      </c>
      <c r="AA8">
        <f>HYPERLINK("https://klasma.github.io/Logging_2460/tillsyn/A 62416-2025 tillsynsbegäran.docx", "A 62416-2025")</f>
        <v/>
      </c>
      <c r="AB8">
        <f>HYPERLINK("https://klasma.github.io/Logging_2460/tillsynsmail/A 62416-2025 tillsynsbegäran mail.docx", "A 62416-2025")</f>
        <v/>
      </c>
      <c r="AC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Y9">
        <f>HYPERLINK("https://klasma.github.io/Logging_2460/klagomål/A 16140-2026 FSC-klagomål.docx", "A 16140-2026")</f>
        <v/>
      </c>
      <c r="Z9">
        <f>HYPERLINK("https://klasma.github.io/Logging_2460/klagomålsmail/A 16140-2026 FSC-klagomål mail.docx", "A 16140-2026")</f>
        <v/>
      </c>
      <c r="AA9">
        <f>HYPERLINK("https://klasma.github.io/Logging_2460/tillsyn/A 16140-2026 tillsynsbegäran.docx", "A 16140-2026")</f>
        <v/>
      </c>
      <c r="AB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s="2" t="inlineStr">
        <is>
          <t>Fläcknycklar
Nattviol</t>
        </is>
      </c>
      <c r="V10">
        <f>HYPERLINK("https://klasma.github.io/Logging_2460/artfynd/A 6179-2025 artfynd.xlsx", "A 6179-2025")</f>
        <v/>
      </c>
      <c r="W10">
        <f>HYPERLINK("https://klasma.github.io/Logging_2460/kartor/A 6179-2025 karta.png", "A 6179-2025")</f>
        <v/>
      </c>
      <c r="Y10">
        <f>HYPERLINK("https://klasma.github.io/Logging_2460/klagomål/A 6179-2025 FSC-klagomål.docx", "A 6179-2025")</f>
        <v/>
      </c>
      <c r="Z10">
        <f>HYPERLINK("https://klasma.github.io/Logging_2460/klagomålsmail/A 6179-2025 FSC-klagomål mail.docx", "A 6179-2025")</f>
        <v/>
      </c>
      <c r="AA10">
        <f>HYPERLINK("https://klasma.github.io/Logging_2460/tillsyn/A 6179-2025 tillsynsbegäran.docx", "A 6179-2025")</f>
        <v/>
      </c>
      <c r="AB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46222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Brunklöver</t>
        </is>
      </c>
      <c r="V11">
        <f>HYPERLINK("https://klasma.github.io/Logging_2460/artfynd/A 55173-2023 artfynd.xlsx", "A 55173-2023")</f>
        <v/>
      </c>
      <c r="W11">
        <f>HYPERLINK("https://klasma.github.io/Logging_2460/kartor/A 55173-2023 karta.png", "A 55173-2023")</f>
        <v/>
      </c>
      <c r="Y11">
        <f>HYPERLINK("https://klasma.github.io/Logging_2460/klagomål/A 55173-2023 FSC-klagomål.docx", "A 55173-2023")</f>
        <v/>
      </c>
      <c r="Z11">
        <f>HYPERLINK("https://klasma.github.io/Logging_2460/klagomålsmail/A 55173-2023 FSC-klagomål mail.docx", "A 55173-2023")</f>
        <v/>
      </c>
      <c r="AA11">
        <f>HYPERLINK("https://klasma.github.io/Logging_2460/tillsyn/A 55173-2023 tillsynsbegäran.docx", "A 55173-2023")</f>
        <v/>
      </c>
      <c r="AB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46222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HYPERLINK("https://klasma.github.io/Logging_2460/artfynd/A 62418-2025 artfynd.xlsx", "A 62418-2025")</f>
        <v/>
      </c>
      <c r="W12">
        <f>HYPERLINK("https://klasma.github.io/Logging_2460/kartor/A 62418-2025 karta.png", "A 62418-2025")</f>
        <v/>
      </c>
      <c r="Y12">
        <f>HYPERLINK("https://klasma.github.io/Logging_2460/klagomål/A 62418-2025 FSC-klagomål.docx", "A 62418-2025")</f>
        <v/>
      </c>
      <c r="Z12">
        <f>HYPERLINK("https://klasma.github.io/Logging_2460/klagomålsmail/A 62418-2025 FSC-klagomål mail.docx", "A 62418-2025")</f>
        <v/>
      </c>
      <c r="AA12">
        <f>HYPERLINK("https://klasma.github.io/Logging_2460/tillsyn/A 62418-2025 tillsynsbegäran.docx", "A 62418-2025")</f>
        <v/>
      </c>
      <c r="AB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46222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Garnlav</t>
        </is>
      </c>
      <c r="V13">
        <f>HYPERLINK("https://klasma.github.io/Logging_2460/artfynd/A 10475-2026 artfynd.xlsx", "A 10475-2026")</f>
        <v/>
      </c>
      <c r="W13">
        <f>HYPERLINK("https://klasma.github.io/Logging_2460/kartor/A 10475-2026 karta.png", "A 10475-2026")</f>
        <v/>
      </c>
      <c r="Y13">
        <f>HYPERLINK("https://klasma.github.io/Logging_2460/klagomål/A 10475-2026 FSC-klagomål.docx", "A 10475-2026")</f>
        <v/>
      </c>
      <c r="Z13">
        <f>HYPERLINK("https://klasma.github.io/Logging_2460/klagomålsmail/A 10475-2026 FSC-klagomål mail.docx", "A 10475-2026")</f>
        <v/>
      </c>
      <c r="AA13">
        <f>HYPERLINK("https://klasma.github.io/Logging_2460/tillsyn/A 10475-2026 tillsynsbegäran.docx", "A 10475-2026")</f>
        <v/>
      </c>
      <c r="AB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46222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Ögonpyrola</t>
        </is>
      </c>
      <c r="V14">
        <f>HYPERLINK("https://klasma.github.io/Logging_2460/artfynd/A 60033-2024 artfynd.xlsx", "A 60033-2024")</f>
        <v/>
      </c>
      <c r="W14">
        <f>HYPERLINK("https://klasma.github.io/Logging_2460/kartor/A 60033-2024 karta.png", "A 60033-2024")</f>
        <v/>
      </c>
      <c r="Y14">
        <f>HYPERLINK("https://klasma.github.io/Logging_2460/klagomål/A 60033-2024 FSC-klagomål.docx", "A 60033-2024")</f>
        <v/>
      </c>
      <c r="Z14">
        <f>HYPERLINK("https://klasma.github.io/Logging_2460/klagomålsmail/A 60033-2024 FSC-klagomål mail.docx", "A 60033-2024")</f>
        <v/>
      </c>
      <c r="AA14">
        <f>HYPERLINK("https://klasma.github.io/Logging_2460/tillsyn/A 60033-2024 tillsynsbegäran.docx", "A 60033-2024")</f>
        <v/>
      </c>
      <c r="AB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46222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Talltita</t>
        </is>
      </c>
      <c r="V15">
        <f>HYPERLINK("https://klasma.github.io/Logging_2460/artfynd/A 24846-2025 artfynd.xlsx", "A 24846-2025")</f>
        <v/>
      </c>
      <c r="W15">
        <f>HYPERLINK("https://klasma.github.io/Logging_2460/kartor/A 24846-2025 karta.png", "A 24846-2025")</f>
        <v/>
      </c>
      <c r="Y15">
        <f>HYPERLINK("https://klasma.github.io/Logging_2460/klagomål/A 24846-2025 FSC-klagomål.docx", "A 24846-2025")</f>
        <v/>
      </c>
      <c r="Z15">
        <f>HYPERLINK("https://klasma.github.io/Logging_2460/klagomålsmail/A 24846-2025 FSC-klagomål mail.docx", "A 24846-2025")</f>
        <v/>
      </c>
      <c r="AA15">
        <f>HYPERLINK("https://klasma.github.io/Logging_2460/tillsyn/A 24846-2025 tillsynsbegäran.docx", "A 24846-2025")</f>
        <v/>
      </c>
      <c r="AB15">
        <f>HYPERLINK("https://klasma.github.io/Logging_2460/tillsynsmail/A 24846-2025 tillsynsbegäran mail.docx", "A 24846-2025")</f>
        <v/>
      </c>
      <c r="AC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46222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Utter</t>
        </is>
      </c>
      <c r="V16">
        <f>HYPERLINK("https://klasma.github.io/Logging_2460/artfynd/S 460-2025 artfynd.xlsx", "S 460-2025")</f>
        <v/>
      </c>
      <c r="W16">
        <f>HYPERLINK("https://klasma.github.io/Logging_2460/kartor/S 460-2025 karta.png", "S 460-2025")</f>
        <v/>
      </c>
      <c r="Y16">
        <f>HYPERLINK("https://klasma.github.io/Logging_2460/klagomål/S 460-2025 FSC-klagomål.docx", "S 460-2025")</f>
        <v/>
      </c>
      <c r="Z16">
        <f>HYPERLINK("https://klasma.github.io/Logging_2460/klagomålsmail/S 460-2025 FSC-klagomål mail.docx", "S 460-2025")</f>
        <v/>
      </c>
      <c r="AA16">
        <f>HYPERLINK("https://klasma.github.io/Logging_2460/tillsyn/S 460-2025 tillsynsbegäran.docx", "S 460-2025")</f>
        <v/>
      </c>
      <c r="AB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46222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Tretåig hackspett</t>
        </is>
      </c>
      <c r="V17">
        <f>HYPERLINK("https://klasma.github.io/Logging_2460/artfynd/S 1810-2026 artfynd.xlsx", "S 1810-2026")</f>
        <v/>
      </c>
      <c r="W17">
        <f>HYPERLINK("https://klasma.github.io/Logging_2460/kartor/S 1810-2026 karta.png", "S 1810-2026")</f>
        <v/>
      </c>
      <c r="Y17">
        <f>HYPERLINK("https://klasma.github.io/Logging_2460/klagomål/S 1810-2026 FSC-klagomål.docx", "S 1810-2026")</f>
        <v/>
      </c>
      <c r="Z17">
        <f>HYPERLINK("https://klasma.github.io/Logging_2460/klagomålsmail/S 1810-2026 FSC-klagomål mail.docx", "S 1810-2026")</f>
        <v/>
      </c>
      <c r="AA17">
        <f>HYPERLINK("https://klasma.github.io/Logging_2460/tillsyn/S 1810-2026 tillsynsbegäran.docx", "S 1810-2026")</f>
        <v/>
      </c>
      <c r="AB17">
        <f>HYPERLINK("https://klasma.github.io/Logging_2460/tillsynsmail/S 1810-2026 tillsynsbegäran mail.docx", "S 1810-2026")</f>
        <v/>
      </c>
      <c r="AC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46222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46222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46222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46222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46222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46222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46222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46222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46222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46222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46222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46222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46222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46222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46222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46222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46222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44929</v>
      </c>
      <c r="E35" s="1" t="n">
        <v>46222</v>
      </c>
      <c r="F35" t="inlineStr">
        <is>
          <t>VÄSTERBOTTENS LÄN</t>
        </is>
      </c>
      <c r="G35" t="inlineStr">
        <is>
          <t>VÄNNÄS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46222</v>
      </c>
      <c r="F36" t="inlineStr">
        <is>
          <t>VÄSTERBOTTENS LÄN</t>
        </is>
      </c>
      <c r="G36" t="inlineStr">
        <is>
          <t>VÄNNÄS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46222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46222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3538-2026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46222</v>
      </c>
      <c r="F39" t="inlineStr">
        <is>
          <t>VÄSTERBOTTENS LÄN</t>
        </is>
      </c>
      <c r="G39" t="inlineStr">
        <is>
          <t>VÄNNÄS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46222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4081-2026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46222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46222</v>
      </c>
      <c r="F42" t="inlineStr">
        <is>
          <t>VÄSTERBOTTENS LÄN</t>
        </is>
      </c>
      <c r="G42" t="inlineStr">
        <is>
          <t>VÄNNÄS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4090-2026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46222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46222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4870-2026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46222</v>
      </c>
      <c r="F45" t="inlineStr">
        <is>
          <t>VÄSTERBOTTENS LÄN</t>
        </is>
      </c>
      <c r="G45" t="inlineStr">
        <is>
          <t>VÄNNÄS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46222</v>
      </c>
      <c r="F46" t="inlineStr">
        <is>
          <t>VÄSTERBOTTENS LÄN</t>
        </is>
      </c>
      <c r="G46" t="inlineStr">
        <is>
          <t>VÄNNÄS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46222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30163-2025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45827</v>
      </c>
      <c r="E48" s="1" t="n">
        <v>46222</v>
      </c>
      <c r="F48" t="inlineStr">
        <is>
          <t>VÄSTERBOTTENS LÄN</t>
        </is>
      </c>
      <c r="G48" t="inlineStr">
        <is>
          <t>VÄNNÄS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46222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46222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46222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46222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46222</v>
      </c>
      <c r="F53" t="inlineStr">
        <is>
          <t>VÄSTERBOTTENS LÄN</t>
        </is>
      </c>
      <c r="G53" t="inlineStr">
        <is>
          <t>VÄNNÄS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46222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46222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46222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46222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46222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46212-2024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46222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57777-2023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45246</v>
      </c>
      <c r="E60" s="1" t="n">
        <v>46222</v>
      </c>
      <c r="F60" t="inlineStr">
        <is>
          <t>VÄSTERBOTTENS LÄN</t>
        </is>
      </c>
      <c r="G60" t="inlineStr">
        <is>
          <t>VÄNNÄS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12410-2025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46222</v>
      </c>
      <c r="F61" t="inlineStr">
        <is>
          <t>VÄSTERBOTTENS LÄN</t>
        </is>
      </c>
      <c r="G61" t="inlineStr">
        <is>
          <t>VÄNNÄS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48859-2025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46222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46222</v>
      </c>
      <c r="F63" t="inlineStr">
        <is>
          <t>VÄSTERBOTTENS LÄN</t>
        </is>
      </c>
      <c r="G63" t="inlineStr">
        <is>
          <t>VÄNNÄS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46222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46222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45516</v>
      </c>
      <c r="E66" s="1" t="n">
        <v>46222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46222</v>
      </c>
      <c r="F67" t="inlineStr">
        <is>
          <t>VÄSTERBOTTENS LÄN</t>
        </is>
      </c>
      <c r="G67" t="inlineStr">
        <is>
          <t>VÄNNÄS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25347-2024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45462</v>
      </c>
      <c r="E68" s="1" t="n">
        <v>46222</v>
      </c>
      <c r="F68" t="inlineStr">
        <is>
          <t>VÄSTERBOTTENS LÄN</t>
        </is>
      </c>
      <c r="G68" t="inlineStr">
        <is>
          <t>VÄNNÄS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46222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45669</v>
      </c>
      <c r="E70" s="1" t="n">
        <v>46222</v>
      </c>
      <c r="F70" t="inlineStr">
        <is>
          <t>VÄSTERBOTTENS LÄN</t>
        </is>
      </c>
      <c r="G70" t="inlineStr">
        <is>
          <t>VÄNNÄS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51605-2025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46222</v>
      </c>
      <c r="F71" t="inlineStr">
        <is>
          <t>VÄSTERBOTTENS LÄN</t>
        </is>
      </c>
      <c r="G71" t="inlineStr">
        <is>
          <t>VÄNNÄS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46222</v>
      </c>
      <c r="F72" t="inlineStr">
        <is>
          <t>VÄSTERBOTTENS LÄN</t>
        </is>
      </c>
      <c r="G72" t="inlineStr">
        <is>
          <t>VÄNNÄS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46222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46222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8697-2026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46222</v>
      </c>
      <c r="F75" t="inlineStr">
        <is>
          <t>VÄSTERBOTTENS LÄN</t>
        </is>
      </c>
      <c r="G75" t="inlineStr">
        <is>
          <t>VÄNNÄS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8935-2025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46222</v>
      </c>
      <c r="F76" t="inlineStr">
        <is>
          <t>VÄSTERBOTTENS LÄN</t>
        </is>
      </c>
      <c r="G76" t="inlineStr">
        <is>
          <t>VÄNNÄS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46222</v>
      </c>
      <c r="F77" t="inlineStr">
        <is>
          <t>VÄSTERBOTTENS LÄN</t>
        </is>
      </c>
      <c r="G77" t="inlineStr">
        <is>
          <t>VÄNNÄS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8516-2026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46222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46222</v>
      </c>
      <c r="F79" t="inlineStr">
        <is>
          <t>VÄSTERBOTTENS LÄN</t>
        </is>
      </c>
      <c r="G79" t="inlineStr">
        <is>
          <t>VÄNNÄS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46222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46222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46222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46222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46222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60640-2024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45644</v>
      </c>
      <c r="E85" s="1" t="n">
        <v>46222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46222</v>
      </c>
      <c r="F86" t="inlineStr">
        <is>
          <t>VÄSTERBOTTENS LÄN</t>
        </is>
      </c>
      <c r="G86" t="inlineStr">
        <is>
          <t>VÄNNÄS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46222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63981-2021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44509</v>
      </c>
      <c r="E88" s="1" t="n">
        <v>46222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44319-2023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46222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46222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46222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46222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46222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20228-2023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45055</v>
      </c>
      <c r="E94" s="1" t="n">
        <v>46222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46222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46222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56835-2025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46222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46222</v>
      </c>
      <c r="F98" t="inlineStr">
        <is>
          <t>VÄSTERBOTTENS LÄN</t>
        </is>
      </c>
      <c r="G98" t="inlineStr">
        <is>
          <t>VÄNNÄS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46222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46222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46222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45509</v>
      </c>
      <c r="E102" s="1" t="n">
        <v>46222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46222</v>
      </c>
      <c r="F103" t="inlineStr">
        <is>
          <t>VÄSTERBOTTENS LÄN</t>
        </is>
      </c>
      <c r="G103" t="inlineStr">
        <is>
          <t>VÄNNÄS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46222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46222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29476-2023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46222</v>
      </c>
      <c r="F106" t="inlineStr">
        <is>
          <t>VÄSTERBOTTENS LÄN</t>
        </is>
      </c>
      <c r="G106" t="inlineStr">
        <is>
          <t>VÄNNÄS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29485-2023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46222</v>
      </c>
      <c r="F107" t="inlineStr">
        <is>
          <t>VÄSTERBOTTENS LÄN</t>
        </is>
      </c>
      <c r="G107" t="inlineStr">
        <is>
          <t>VÄNNÄS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46222</v>
      </c>
      <c r="F108" t="inlineStr">
        <is>
          <t>VÄSTERBOTTENS LÄN</t>
        </is>
      </c>
      <c r="G108" t="inlineStr">
        <is>
          <t>VÄNNÄS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46222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13494-2026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46222</v>
      </c>
      <c r="F110" t="inlineStr">
        <is>
          <t>VÄSTERBOTTENS LÄN</t>
        </is>
      </c>
      <c r="G110" t="inlineStr">
        <is>
          <t>VÄNNÄS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46222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45996</v>
      </c>
      <c r="E112" s="1" t="n">
        <v>46222</v>
      </c>
      <c r="F112" t="inlineStr">
        <is>
          <t>VÄSTERBOTTENS LÄN</t>
        </is>
      </c>
      <c r="G112" t="inlineStr">
        <is>
          <t>VÄNNÄS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46222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46222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46222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46222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46222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46222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46222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46222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46222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46222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46222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46222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9039-2024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46222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63289-2025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46222</v>
      </c>
      <c r="F126" t="inlineStr">
        <is>
          <t>VÄSTERBOTTENS LÄN</t>
        </is>
      </c>
      <c r="G126" t="inlineStr">
        <is>
          <t>VÄNNÄS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54793-2023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46222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46222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63447-2025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46222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Sveaskog</t>
        </is>
      </c>
      <c r="I129" t="n">
        <v>21.4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46222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46222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46222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46222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17687-2026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46222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46222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46126</v>
      </c>
      <c r="E136" s="1" t="n">
        <v>46222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46222</v>
      </c>
      <c r="F137" t="inlineStr">
        <is>
          <t>VÄSTERBOTTENS LÄN</t>
        </is>
      </c>
      <c r="G137" t="inlineStr">
        <is>
          <t>VÄNNÄS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46501-2024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46222</v>
      </c>
      <c r="F138" t="inlineStr">
        <is>
          <t>VÄSTERBOTTENS LÄN</t>
        </is>
      </c>
      <c r="G138" t="inlineStr">
        <is>
          <t>VÄNNÄS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46222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19357-2026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46222</v>
      </c>
      <c r="F140" t="inlineStr">
        <is>
          <t>VÄSTERBOTTENS LÄN</t>
        </is>
      </c>
      <c r="G140" t="inlineStr">
        <is>
          <t>VÄNNÄS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33319-2023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46222</v>
      </c>
      <c r="F141" t="inlineStr">
        <is>
          <t>VÄSTERBOTTENS LÄN</t>
        </is>
      </c>
      <c r="G141" t="inlineStr">
        <is>
          <t>VÄNNÄS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46222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46222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46222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46222</v>
      </c>
      <c r="F145" t="inlineStr">
        <is>
          <t>VÄSTERBOTTENS LÄN</t>
        </is>
      </c>
      <c r="G145" t="inlineStr">
        <is>
          <t>VÄNNÄS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46222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46222</v>
      </c>
      <c r="F147" t="inlineStr">
        <is>
          <t>VÄSTERBOTTENS LÄN</t>
        </is>
      </c>
      <c r="G147" t="inlineStr">
        <is>
          <t>VÄNNÄS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13762-2025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46222</v>
      </c>
      <c r="F148" t="inlineStr">
        <is>
          <t>VÄSTERBOTTENS LÄN</t>
        </is>
      </c>
      <c r="G148" t="inlineStr">
        <is>
          <t>VÄNNÄS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46222</v>
      </c>
      <c r="F149" t="inlineStr">
        <is>
          <t>VÄSTERBOTTENS LÄN</t>
        </is>
      </c>
      <c r="G149" t="inlineStr">
        <is>
          <t>VÄNNÄS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26576-2025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46222</v>
      </c>
      <c r="F150" t="inlineStr">
        <is>
          <t>VÄSTERBOTTENS LÄN</t>
        </is>
      </c>
      <c r="G150" t="inlineStr">
        <is>
          <t>VÄNNÄS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46222</v>
      </c>
      <c r="F151" t="inlineStr">
        <is>
          <t>VÄSTERBOTTENS LÄN</t>
        </is>
      </c>
      <c r="G151" t="inlineStr">
        <is>
          <t>VÄNNÄS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46222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55444-2023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46222</v>
      </c>
      <c r="F153" t="inlineStr">
        <is>
          <t>VÄSTERBOTTENS LÄN</t>
        </is>
      </c>
      <c r="G153" t="inlineStr">
        <is>
          <t>VÄNNÄS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46222</v>
      </c>
      <c r="F154" t="inlineStr">
        <is>
          <t>VÄSTERBOTTENS LÄN</t>
        </is>
      </c>
      <c r="G154" t="inlineStr">
        <is>
          <t>VÄNNÄS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42317-2023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46222</v>
      </c>
      <c r="F155" t="inlineStr">
        <is>
          <t>VÄSTERBOTTENS LÄN</t>
        </is>
      </c>
      <c r="G155" t="inlineStr">
        <is>
          <t>VÄNNÄS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46222</v>
      </c>
      <c r="F156" t="inlineStr">
        <is>
          <t>VÄSTERBOTTENS LÄN</t>
        </is>
      </c>
      <c r="G156" t="inlineStr">
        <is>
          <t>VÄNNÄS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46222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46222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46222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46222</v>
      </c>
      <c r="F160" t="inlineStr">
        <is>
          <t>VÄSTERBOTTENS LÄN</t>
        </is>
      </c>
      <c r="G160" t="inlineStr">
        <is>
          <t>VÄNNÄS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26900-2026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46222</v>
      </c>
      <c r="F161" t="inlineStr">
        <is>
          <t>VÄSTERBOTTENS LÄN</t>
        </is>
      </c>
      <c r="G161" t="inlineStr">
        <is>
          <t>VÄNNÄS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46222</v>
      </c>
      <c r="F162" t="inlineStr">
        <is>
          <t>VÄSTERBOTTENS LÄN</t>
        </is>
      </c>
      <c r="G162" t="inlineStr">
        <is>
          <t>VÄNNÄS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46222</v>
      </c>
      <c r="F163" t="inlineStr">
        <is>
          <t>VÄSTERBOTTENS LÄN</t>
        </is>
      </c>
      <c r="G163" t="inlineStr">
        <is>
          <t>VÄNNÄS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8993-2024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46222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46222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46222</v>
      </c>
      <c r="F166" t="inlineStr">
        <is>
          <t>VÄSTERBOTTENS LÄN</t>
        </is>
      </c>
      <c r="G166" t="inlineStr">
        <is>
          <t>VÄNNÄS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46222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46222</v>
      </c>
      <c r="F168" t="inlineStr">
        <is>
          <t>VÄSTERBOTTENS LÄN</t>
        </is>
      </c>
      <c r="G168" t="inlineStr">
        <is>
          <t>VÄNNÄS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21598-2026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46222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21597-2026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46222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60557-2023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46222</v>
      </c>
      <c r="F171" t="inlineStr">
        <is>
          <t>VÄSTERBOTTENS LÄN</t>
        </is>
      </c>
      <c r="G171" t="inlineStr">
        <is>
          <t>VÄNNÄS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39220-2024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45549</v>
      </c>
      <c r="E172" s="1" t="n">
        <v>46222</v>
      </c>
      <c r="F172" t="inlineStr">
        <is>
          <t>VÄSTERBOTTENS LÄN</t>
        </is>
      </c>
      <c r="G172" t="inlineStr">
        <is>
          <t>VÄNNÄS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28752-2026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46222</v>
      </c>
      <c r="F173" t="inlineStr">
        <is>
          <t>VÄSTERBOTTENS LÄN</t>
        </is>
      </c>
      <c r="G173" t="inlineStr">
        <is>
          <t>VÄNNÄS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19100-2022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44691</v>
      </c>
      <c r="E174" s="1" t="n">
        <v>46222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22193-2023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45069</v>
      </c>
      <c r="E175" s="1" t="n">
        <v>46222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846-2022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44571</v>
      </c>
      <c r="E176" s="1" t="n">
        <v>46222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23208-2026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46222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46222</v>
      </c>
      <c r="F178" t="inlineStr">
        <is>
          <t>VÄSTERBOTTENS LÄN</t>
        </is>
      </c>
      <c r="G178" t="inlineStr">
        <is>
          <t>VÄNNÄS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10761-2026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46222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46222</v>
      </c>
      <c r="F180" t="inlineStr">
        <is>
          <t>VÄSTERBOTTENS LÄN</t>
        </is>
      </c>
      <c r="G180" t="inlineStr">
        <is>
          <t>VÄNNÄS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46222</v>
      </c>
      <c r="F181" t="inlineStr">
        <is>
          <t>VÄSTERBOTTENS LÄN</t>
        </is>
      </c>
      <c r="G181" t="inlineStr">
        <is>
          <t>VÄNNÄS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46222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31699-2024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45508</v>
      </c>
      <c r="E183" s="1" t="n">
        <v>46222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46222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46222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46222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46222</v>
      </c>
      <c r="F187" t="inlineStr">
        <is>
          <t>VÄSTERBOTTENS LÄN</t>
        </is>
      </c>
      <c r="G187" t="inlineStr">
        <is>
          <t>VÄNNÄS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25453-2024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46222</v>
      </c>
      <c r="F188" t="inlineStr">
        <is>
          <t>VÄSTERBOTTENS LÄN</t>
        </is>
      </c>
      <c r="G188" t="inlineStr">
        <is>
          <t>VÄNNÄS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46222</v>
      </c>
      <c r="F189" t="inlineStr">
        <is>
          <t>VÄSTERBOTTENS LÄN</t>
        </is>
      </c>
      <c r="G189" t="inlineStr">
        <is>
          <t>VÄNNÄS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46222</v>
      </c>
      <c r="F190" t="inlineStr">
        <is>
          <t>VÄSTERBOTTENS LÄN</t>
        </is>
      </c>
      <c r="G190" t="inlineStr">
        <is>
          <t>VÄNNÄS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46222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46222</v>
      </c>
      <c r="F192" t="inlineStr">
        <is>
          <t>VÄSTERBOTTENS LÄN</t>
        </is>
      </c>
      <c r="G192" t="inlineStr">
        <is>
          <t>VÄNNÄS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46222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46222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25127-2026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46222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45146</v>
      </c>
      <c r="E196" s="1" t="n">
        <v>46222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46222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34760-2023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46222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25139-2026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46222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46222</v>
      </c>
      <c r="F200" t="inlineStr">
        <is>
          <t>VÄSTERBOTTENS LÄN</t>
        </is>
      </c>
      <c r="G200" t="inlineStr">
        <is>
          <t>VÄNNÄS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46222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25216-2026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46222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46222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46222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46222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25112-2026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46222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46222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46222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46222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46222</v>
      </c>
      <c r="F210" t="inlineStr">
        <is>
          <t>VÄSTERBOTTENS LÄN</t>
        </is>
      </c>
      <c r="G210" t="inlineStr">
        <is>
          <t>VÄNNÄS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46222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46222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25273-2026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46222</v>
      </c>
      <c r="F213" t="inlineStr">
        <is>
          <t>VÄSTERBOTTENS LÄN</t>
        </is>
      </c>
      <c r="G213" t="inlineStr">
        <is>
          <t>VÄNNÄS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46222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46222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46222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46222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46222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46222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46222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46222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46222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46222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46222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46222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46222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46222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46222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46222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46222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46222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46222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46222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46222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46222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46222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46222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46222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46222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46222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46222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46222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46222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46222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46222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46222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2026-07-19T01:34:48Z</dcterms:created>
  <dcterms:modified xmlns:dcterms="http://purl.org/dc/terms/" xmlns:xsi="http://www.w3.org/2001/XMLSchema-instance" xsi:type="dcterms:W3CDTF">2026-07-19T01:34:48Z</dcterms:modified>
</cp:coreProperties>
</file>